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" sheetId="1" state="visible" r:id="rId3"/>
    <sheet name="قائمة الوظائف" sheetId="2" state="visible" r:id="rId4"/>
  </sheets>
  <definedNames>
    <definedName function="false" hidden="false" localSheetId="1" name="_xlnm.Print_Titles" vbProcedure="false">'قائمة الوظائف'!$4:$4</definedName>
    <definedName function="false" hidden="true" localSheetId="1" name="_xlnm._FilterDatabase" vbProcedure="false">'قائمة الوظائف'!$A$4:$M$517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<sst xmlns="http://schemas.openxmlformats.org/spreadsheetml/2006/main" count="5949" uniqueCount="1046">
  <si>
    <t xml:space="preserve">ملخص الوظائف حسب الموديول والتطبيق</t>
  </si>
  <si>
    <t xml:space="preserve">الأعداد محسوبة بمعادلات من ورقة «قائمة الوظائف». «ضمن النطاق» = المخطط التفصيلي + قائمة وظائف المورّد (محسوبة افتراضياً)؛ «من واقع الخبرة» = مقترحة وغير محسوبة حتى يقرر الفريق تضمينها.</t>
  </si>
  <si>
    <t xml:space="preserve">الموديول (الإدارة)</t>
  </si>
  <si>
    <t xml:space="preserve">التطبيق</t>
  </si>
  <si>
    <t xml:space="preserve">Application</t>
  </si>
  <si>
    <t xml:space="preserve">تابع لـ / ملاحظات</t>
  </si>
  <si>
    <t xml:space="preserve">إجمالي الوظائف</t>
  </si>
  <si>
    <t xml:space="preserve">المخطط التفصيلي</t>
  </si>
  <si>
    <t xml:space="preserve">قائمة المورّد</t>
  </si>
  <si>
    <t xml:space="preserve">من واقع الخبرة</t>
  </si>
  <si>
    <t xml:space="preserve">محسوبة افتراضياً</t>
  </si>
  <si>
    <t xml:space="preserve">يعمل تشغيلياً (حسب المورّد)</t>
  </si>
  <si>
    <t xml:space="preserve">إدارة الموارد البشرية والخدمات</t>
  </si>
  <si>
    <t xml:space="preserve">شؤون العاملين</t>
  </si>
  <si>
    <t xml:space="preserve">Personnel Affairs</t>
  </si>
  <si>
    <t xml:space="preserve">التوظيف</t>
  </si>
  <si>
    <t xml:space="preserve">Recruitment</t>
  </si>
  <si>
    <t xml:space="preserve">ضمن شؤون العاملين</t>
  </si>
  <si>
    <t xml:space="preserve">الحضور والانصراف</t>
  </si>
  <si>
    <t xml:space="preserve">Time &amp; Attendance</t>
  </si>
  <si>
    <t xml:space="preserve">الإجازات</t>
  </si>
  <si>
    <t xml:space="preserve">Leave</t>
  </si>
  <si>
    <t xml:space="preserve">المرتبات والسلف</t>
  </si>
  <si>
    <t xml:space="preserve">Payroll &amp; Advances</t>
  </si>
  <si>
    <t xml:space="preserve">التقييم</t>
  </si>
  <si>
    <t xml:space="preserve">Appraisal</t>
  </si>
  <si>
    <t xml:space="preserve">ضمن المرتبات</t>
  </si>
  <si>
    <t xml:space="preserve">الطلبات ومسارات الاعتماد</t>
  </si>
  <si>
    <t xml:space="preserve">Requests &amp; Approval Workflows</t>
  </si>
  <si>
    <t xml:space="preserve">وحدة غير واردة في المخطط</t>
  </si>
  <si>
    <t xml:space="preserve">الخدمة الذاتية وتطبيق الجوال</t>
  </si>
  <si>
    <t xml:space="preserve">Employee Self-Service &amp; Mobile App</t>
  </si>
  <si>
    <t xml:space="preserve">المشتريات</t>
  </si>
  <si>
    <t xml:space="preserve">Purchasing</t>
  </si>
  <si>
    <t xml:space="preserve">المخازن</t>
  </si>
  <si>
    <t xml:space="preserve">Inventory / Stores</t>
  </si>
  <si>
    <t xml:space="preserve">التدريب والتطوير</t>
  </si>
  <si>
    <t xml:space="preserve">Training &amp; Development</t>
  </si>
  <si>
    <t xml:space="preserve">الملحق V1.2 · 2026.09.12 · تقلّص النطاق</t>
  </si>
  <si>
    <t xml:space="preserve">الرعاية الصحية</t>
  </si>
  <si>
    <t xml:space="preserve">Healthcare</t>
  </si>
  <si>
    <t xml:space="preserve">الملحق V1.2 · 2026.09.12</t>
  </si>
  <si>
    <t xml:space="preserve">إدارة المستندات والمراسلات</t>
  </si>
  <si>
    <t xml:space="preserve">Documents &amp; Correspondence</t>
  </si>
  <si>
    <t xml:space="preserve">الملحق V1.0 · 2026.09.20 · تقلّص النطاق</t>
  </si>
  <si>
    <t xml:space="preserve">إدارة المركبات</t>
  </si>
  <si>
    <t xml:space="preserve">Fleet Management</t>
  </si>
  <si>
    <t xml:space="preserve">الملحق V1.1 · 2026.09.12 · تقلّص النطاق</t>
  </si>
  <si>
    <t xml:space="preserve">إجمالي الموارد البشرية</t>
  </si>
  <si>
    <t xml:space="preserve">14 تطبيق</t>
  </si>
  <si>
    <t xml:space="preserve">الإدارة المالية</t>
  </si>
  <si>
    <t xml:space="preserve">المحاسبة</t>
  </si>
  <si>
    <t xml:space="preserve">Accounting</t>
  </si>
  <si>
    <t xml:space="preserve">المدفوعات</t>
  </si>
  <si>
    <t xml:space="preserve">Payments</t>
  </si>
  <si>
    <t xml:space="preserve">المقبوضات</t>
  </si>
  <si>
    <t xml:space="preserve">Receipts</t>
  </si>
  <si>
    <t xml:space="preserve">الأصول الثابتة</t>
  </si>
  <si>
    <t xml:space="preserve">Fixed Assets</t>
  </si>
  <si>
    <t xml:space="preserve">الاعتمادات المستندية</t>
  </si>
  <si>
    <t xml:space="preserve">Letters of Credit</t>
  </si>
  <si>
    <t xml:space="preserve">دورة حياة العقود</t>
  </si>
  <si>
    <t xml:space="preserve">Contract Lifecycle</t>
  </si>
  <si>
    <t xml:space="preserve">إجمالي المالية</t>
  </si>
  <si>
    <t xml:space="preserve">6 تطبيق</t>
  </si>
  <si>
    <t xml:space="preserve">الإدارة التجارية</t>
  </si>
  <si>
    <t xml:space="preserve">المبيعات</t>
  </si>
  <si>
    <t xml:space="preserve">Sales</t>
  </si>
  <si>
    <t xml:space="preserve">خدمات المشتركين</t>
  </si>
  <si>
    <t xml:space="preserve">Subscriber Services</t>
  </si>
  <si>
    <t xml:space="preserve">إجمالي التجارية</t>
  </si>
  <si>
    <t xml:space="preserve">2 تطبيق</t>
  </si>
  <si>
    <t xml:space="preserve">التهيئة والبنية التحتية والمتطلبات</t>
  </si>
  <si>
    <t xml:space="preserve">الخوادم والتخزين</t>
  </si>
  <si>
    <t xml:space="preserve">Servers &amp; Storage</t>
  </si>
  <si>
    <t xml:space="preserve">قاعدة البيانات والتراخيص</t>
  </si>
  <si>
    <t xml:space="preserve">Database &amp; Licences</t>
  </si>
  <si>
    <t xml:space="preserve">الشبكة والربط بالفروع</t>
  </si>
  <si>
    <t xml:space="preserve">Network &amp; Branch Connectivity</t>
  </si>
  <si>
    <t xml:space="preserve">بيئات العمل والنشر</t>
  </si>
  <si>
    <t xml:space="preserve">Environments &amp; Deployment</t>
  </si>
  <si>
    <t xml:space="preserve">النسخ الاحتياطي والتعافي</t>
  </si>
  <si>
    <t xml:space="preserve">Backup &amp; Recovery</t>
  </si>
  <si>
    <t xml:space="preserve">الأمن والصلاحيات والتسليم</t>
  </si>
  <si>
    <t xml:space="preserve">Security, Permissions &amp; Handover</t>
  </si>
  <si>
    <t xml:space="preserve">ترحيل البيانات</t>
  </si>
  <si>
    <t xml:space="preserve">Data Migration</t>
  </si>
  <si>
    <t xml:space="preserve">التدريب ونقل المعرفة</t>
  </si>
  <si>
    <t xml:space="preserve">Training &amp; Knowledge Transfer</t>
  </si>
  <si>
    <t xml:space="preserve">إجمالي البنية التحتية</t>
  </si>
  <si>
    <t xml:space="preserve">8 تطبيق</t>
  </si>
  <si>
    <t xml:space="preserve">الإجمالي العام</t>
  </si>
  <si>
    <t xml:space="preserve">30 تطبيق</t>
  </si>
  <si>
    <t xml:space="preserve">تحقق: عدد صفوف القائمة</t>
  </si>
  <si>
    <t xml:space="preserve">قائمة الوظائف الكاملة حسب الموديول (الإدارة) والتطبيق — نظام متابعة إنجاز ERP</t>
  </si>
  <si>
    <t xml:space="preserve">المصدر: كتالوج النظام (backend/src/db/seed/catalog.json) المستخرج من ملف المتابعة الأصلي erp-tracker-original.html — مطابق له 100%. لا تشمل الوظائف المضافة أو المُزالة لاحقاً على الخادم.</t>
  </si>
  <si>
    <t xml:space="preserve">م</t>
  </si>
  <si>
    <t xml:space="preserve">Module</t>
  </si>
  <si>
    <t xml:space="preserve">رمز التطبيق</t>
  </si>
  <si>
    <t xml:space="preserve">تابع لـ / ملاحظات التطبيق</t>
  </si>
  <si>
    <t xml:space="preserve">رمز الوظيفة</t>
  </si>
  <si>
    <t xml:space="preserve">اسم الوظيفة</t>
  </si>
  <si>
    <t xml:space="preserve">المصدر</t>
  </si>
  <si>
    <t xml:space="preserve">المرجع</t>
  </si>
  <si>
    <t xml:space="preserve">حالة المورّد المعلنة</t>
  </si>
  <si>
    <t xml:space="preserve">محسوبة في النسب افتراضياً</t>
  </si>
  <si>
    <t xml:space="preserve">Human Resources &amp; Services</t>
  </si>
  <si>
    <t xml:space="preserve">per</t>
  </si>
  <si>
    <t xml:space="preserve">D0</t>
  </si>
  <si>
    <t xml:space="preserve">الوظائف والدرجة الوظيفية وفترة الاختبار</t>
  </si>
  <si>
    <t xml:space="preserve">ص 69</t>
  </si>
  <si>
    <t xml:space="preserve">—</t>
  </si>
  <si>
    <t xml:space="preserve">نعم</t>
  </si>
  <si>
    <t xml:space="preserve">D1</t>
  </si>
  <si>
    <t xml:space="preserve">المواقع الوظيفية ومقارنة الخطة بالتوظيف الفعلي</t>
  </si>
  <si>
    <t xml:space="preserve">D2</t>
  </si>
  <si>
    <t xml:space="preserve">الهيكل الإداري والوظيفي الديناميكي وربط الموظف بالوظيفة الإشرافية</t>
  </si>
  <si>
    <t xml:space="preserve">ص 92</t>
  </si>
  <si>
    <t xml:space="preserve">D3</t>
  </si>
  <si>
    <t xml:space="preserve">البيانات الشخصية: الاسم، المؤهل، الجنس، الرقم الوطني، الميلاد، الحالة الاجتماعية، الهواتف، الرقم الضماني، جواز السفر، العنوان بإحداثيات</t>
  </si>
  <si>
    <t xml:space="preserve">D4</t>
  </si>
  <si>
    <t xml:space="preserve">عقد العمل: تاريخ التعيين والوظيفة والمرتب، الإصدار الآلي للعقود، النقل بين الإدارات</t>
  </si>
  <si>
    <t xml:space="preserve">D5</t>
  </si>
  <si>
    <t xml:space="preserve">مسوغات التعيين حسب الوظيفة والجنس والجنسية</t>
  </si>
  <si>
    <t xml:space="preserve">D6</t>
  </si>
  <si>
    <t xml:space="preserve">أمر تكليف العمل</t>
  </si>
  <si>
    <t xml:space="preserve">D7</t>
  </si>
  <si>
    <t xml:space="preserve">أرشفة بيانات الموظف وتعريف بصمته</t>
  </si>
  <si>
    <t xml:space="preserve">ص 64</t>
  </si>
  <si>
    <t xml:space="preserve">D8</t>
  </si>
  <si>
    <t xml:space="preserve">دليل جهات التعامل للمأموريات والاجتماعات بموقع GPS</t>
  </si>
  <si>
    <t xml:space="preserve">D9</t>
  </si>
  <si>
    <t xml:space="preserve">قوالب خطابات شؤون العاملين وتصنيفها في مجلدات</t>
  </si>
  <si>
    <t xml:space="preserve">ص 93</t>
  </si>
  <si>
    <t xml:space="preserve">D10</t>
  </si>
  <si>
    <t xml:space="preserve">طلب خطاب شؤون عاملين عبر الخدمة الذاتية</t>
  </si>
  <si>
    <t xml:space="preserve">D11</t>
  </si>
  <si>
    <t xml:space="preserve">العهد العينية والمالية: التصنيف، الرقم المسلسل، الحالة، تاريخ الشراء، المكان، آلية الصرف وإقرار الاستلام، الاستيراد من إكسيل</t>
  </si>
  <si>
    <t xml:space="preserve">ص 93 و95</t>
  </si>
  <si>
    <t xml:space="preserve">D12</t>
  </si>
  <si>
    <t xml:space="preserve">المأموريات: الطلب، وسيلة النقل وتذاكر السفر، صرف البدلات، تسجيل النتيجة</t>
  </si>
  <si>
    <t xml:space="preserve">عرض فني ص 52</t>
  </si>
  <si>
    <t xml:space="preserve">D13</t>
  </si>
  <si>
    <t xml:space="preserve">الاجتماعات: القاعات، الطلب، الوقت، الأجندة، التفعيل، النتيجة، الاعتذار</t>
  </si>
  <si>
    <t xml:space="preserve">D14</t>
  </si>
  <si>
    <t xml:space="preserve">القرارات والتعميمات الإدارية وردود الموظفين عليها</t>
  </si>
  <si>
    <t xml:space="preserve">عرض فني ص 53</t>
  </si>
  <si>
    <t xml:space="preserve">D15</t>
  </si>
  <si>
    <t xml:space="preserve">الشكاوى والتظلم من قرار إداري</t>
  </si>
  <si>
    <t xml:space="preserve">عرض فني ص 72</t>
  </si>
  <si>
    <t xml:space="preserve">D16</t>
  </si>
  <si>
    <t xml:space="preserve">الجزاءات: التصنيف، اللوائح بالنقاط، التحقيقات، التصاعد عند التكرار</t>
  </si>
  <si>
    <t xml:space="preserve">ص 94</t>
  </si>
  <si>
    <t xml:space="preserve">D17</t>
  </si>
  <si>
    <t xml:space="preserve">الخدمة الذاتية للموظف: الطلبات والاستعلامات</t>
  </si>
  <si>
    <t xml:space="preserve">D18</t>
  </si>
  <si>
    <t xml:space="preserve">تطبيق الهاتف للموظف والمدير</t>
  </si>
  <si>
    <t xml:space="preserve">ص 83</t>
  </si>
  <si>
    <t xml:space="preserve">D19</t>
  </si>
  <si>
    <t xml:space="preserve">الصلاحيات بثلاثة مستويات ومسارات الاعتماد والفئة المستهدفة</t>
  </si>
  <si>
    <t xml:space="preserve">D20</t>
  </si>
  <si>
    <t xml:space="preserve">هيكل المواقع الوظيفية — رسم بياني لكشف النقص الوظيفي</t>
  </si>
  <si>
    <t xml:space="preserve">قائمة وظائف المورّد</t>
  </si>
  <si>
    <t xml:space="preserve">قائمة الوظائف بند 3</t>
  </si>
  <si>
    <t xml:space="preserve">يعمل تشغيلياً</t>
  </si>
  <si>
    <t xml:space="preserve">D21</t>
  </si>
  <si>
    <t xml:space="preserve">المجموعات الوظيفية — ربط الموظفين بمجموعات لتطبيق سياسات موحدة</t>
  </si>
  <si>
    <t xml:space="preserve">بند 5</t>
  </si>
  <si>
    <t xml:space="preserve">D22</t>
  </si>
  <si>
    <t xml:space="preserve">إضافة الموظفين دفعة واحدة واستيراد بياناتهم من Excel وتصديرها إليه</t>
  </si>
  <si>
    <t xml:space="preserve">بند 7–9</t>
  </si>
  <si>
    <t xml:space="preserve">D23</t>
  </si>
  <si>
    <t xml:space="preserve">تصدير بيانات المستخدم لتطبيق الهاتف واستيرادها مع إرسال بريد التفعيل آلياً</t>
  </si>
  <si>
    <t xml:space="preserve">بند 10–11</t>
  </si>
  <si>
    <t xml:space="preserve">D24</t>
  </si>
  <si>
    <t xml:space="preserve">إدارة العمالة المؤقتة وتحديد الأجر اليومي ومدة العمل</t>
  </si>
  <si>
    <t xml:space="preserve">بند 12</t>
  </si>
  <si>
    <t xml:space="preserve">D25</t>
  </si>
  <si>
    <t xml:space="preserve">التحقيق مع الموظفين — إجراء ومتابعة وتسجيل النتائج والأرشفة</t>
  </si>
  <si>
    <t xml:space="preserve">بند 15</t>
  </si>
  <si>
    <t xml:space="preserve">D26</t>
  </si>
  <si>
    <t xml:space="preserve">النقاط المضافة للموظفين — تتبع التقييمات والمكافآت والعقوبات</t>
  </si>
  <si>
    <t xml:space="preserve">بند 16</t>
  </si>
  <si>
    <t xml:space="preserve">D27</t>
  </si>
  <si>
    <t xml:space="preserve">شاشة اعتماد الموافقات من المديرين على طلبات الموظفين</t>
  </si>
  <si>
    <t xml:space="preserve">بند 21</t>
  </si>
  <si>
    <t xml:space="preserve">D28</t>
  </si>
  <si>
    <t xml:space="preserve">دورة ترك الخدمة والتصفية (إخلاء الذمة المالية)</t>
  </si>
  <si>
    <t xml:space="preserve">بند 103–104</t>
  </si>
  <si>
    <t xml:space="preserve">D29</t>
  </si>
  <si>
    <t xml:space="preserve">التقارير على سبيل المثال: التكليفات، مسوغات التعيين ومراجعتها، معدل دوران العمالة، حالة عقود الموظفين، بطاقة الموظف، سجل الموظفين، الهيكل الإداري</t>
  </si>
  <si>
    <t xml:space="preserve">بند 17 و22–36</t>
  </si>
  <si>
    <t xml:space="preserve">D30</t>
  </si>
  <si>
    <t xml:space="preserve">احتساب المخالفات: نسيان بصمة الحضور يُخصم يوماً كاملاً (6.84)</t>
  </si>
  <si>
    <t xml:space="preserve">بند 18</t>
  </si>
  <si>
    <t xml:space="preserve">يعمل مع ملاحظة</t>
  </si>
  <si>
    <t xml:space="preserve">D31</t>
  </si>
  <si>
    <t xml:space="preserve">عرض المخالفات للموظف بالساعات بدل الأيام خلافاً للائحة الشركة</t>
  </si>
  <si>
    <t xml:space="preserve">بند 19</t>
  </si>
  <si>
    <t xml:space="preserve">D32</t>
  </si>
  <si>
    <t xml:space="preserve">فرق احتساب نصف اليوم بين نسيان بصمة الانصراف (0.42) والتأخير (0.5)</t>
  </si>
  <si>
    <t xml:space="preserve">بند 20</t>
  </si>
  <si>
    <t xml:space="preserve">X0</t>
  </si>
  <si>
    <t xml:space="preserve">سياسة الرقم الوظيفي الموحّد</t>
  </si>
  <si>
    <t xml:space="preserve">الوثيقة تستخدم «كود الموظف» في التقارير ولا تعرّف سياسة ترقيمه؛ وهي شرط لترحيل ملفات Excel دون تكرار</t>
  </si>
  <si>
    <t xml:space="preserve">لا (مقترح)</t>
  </si>
  <si>
    <t xml:space="preserve">X1</t>
  </si>
  <si>
    <t xml:space="preserve">تتبع انتهاء صلاحية المستندات: جواز، إقامة، رخصة، شهادة صحية</t>
  </si>
  <si>
    <t xml:space="preserve">تنبيه مسبق يمنع توقف موظف عن العمل</t>
  </si>
  <si>
    <t xml:space="preserve">X2</t>
  </si>
  <si>
    <t xml:space="preserve">التسلسل الوظيفي والترقيات: تاريخ الدرجة، قرار الترقية، أثرها على المرتب</t>
  </si>
  <si>
    <t xml:space="preserve">الوثيقة تعرّف الدرجة الوظيفية ولا تعرّف دورة الترقية</t>
  </si>
  <si>
    <t xml:space="preserve">X3</t>
  </si>
  <si>
    <t xml:space="preserve">إخلاء الطرف المربوط بالعهد والمخازن والمالية والأسطول</t>
  </si>
  <si>
    <t xml:space="preserve">لا يُغلق ملف الموظف دونه، وهو الموضع الذي تضيع فيه العهد عادةً</t>
  </si>
  <si>
    <t xml:space="preserve">X4</t>
  </si>
  <si>
    <t xml:space="preserve">شهادة الخبرة وإخطار الضمان بانتهاء الخدمة</t>
  </si>
  <si>
    <t xml:space="preserve">التزام نظامي عند إنهاء الخدمة</t>
  </si>
  <si>
    <t xml:space="preserve">X5</t>
  </si>
  <si>
    <t xml:space="preserve">بيانات المعالين (الزوج والأبناء)</t>
  </si>
  <si>
    <t xml:space="preserve">لازمة لباقات الرعاية الصحية وللضمان الاجتماعي</t>
  </si>
  <si>
    <t xml:space="preserve">X6</t>
  </si>
  <si>
    <t xml:space="preserve">رقم اشتراك الضمان الاجتماعي وحالته</t>
  </si>
  <si>
    <t xml:space="preserve">الوثيقة تحفظ «الرقم الضماني» كحقل فقط دون دورة اشتراك</t>
  </si>
  <si>
    <t xml:space="preserve">rec</t>
  </si>
  <si>
    <t xml:space="preserve">إعدادات التوظيف: حقول استمارة التوظيف وأسئلة التقييم</t>
  </si>
  <si>
    <t xml:space="preserve">مسارات اعتماد طلبات التوظيف</t>
  </si>
  <si>
    <t xml:space="preserve">طلب التوظيف من الإدارة الطالبة: المدير، التاريخ، العدد، المهارات</t>
  </si>
  <si>
    <t xml:space="preserve">تجميع طلبات التوظيف وإنشاء إعلانات منها</t>
  </si>
  <si>
    <t xml:space="preserve">نشر الإعلانات على منصات التوظيف ومتابعة المنشور والسابق</t>
  </si>
  <si>
    <t xml:space="preserve">ص 69 و64</t>
  </si>
  <si>
    <t xml:space="preserve">استمارات المتقدمين لكل وظيفة</t>
  </si>
  <si>
    <t xml:space="preserve">تصنيف المتقدمين مطابق/غير مطابق بالذكاء الاصطناعي</t>
  </si>
  <si>
    <t xml:space="preserve">تقييم المتقدمين من لجنة التوظيف</t>
  </si>
  <si>
    <t xml:space="preserve">إجراءات التوظيف والتأكد من بيانات المرشحين المقبولين</t>
  </si>
  <si>
    <t xml:space="preserve">إعداد العرض الوظيفي</t>
  </si>
  <si>
    <t xml:space="preserve">طلب مسوغات التعيين</t>
  </si>
  <si>
    <t xml:space="preserve">إعداد الرسالة المباشرة</t>
  </si>
  <si>
    <t xml:space="preserve">تسجيل العقود وتحويل المرشح إلى موظف</t>
  </si>
  <si>
    <t xml:space="preserve">طلب توظيف من المدير</t>
  </si>
  <si>
    <t xml:space="preserve">قائمة الوظائف بند 178</t>
  </si>
  <si>
    <t xml:space="preserve">الملاك المعتمد مقابل الفعلي وربطه بموازنة التوظيف</t>
  </si>
  <si>
    <t xml:space="preserve">المواقع الوظيفية موجودة دون ربطها بسقف مالي، فيمرّ التوظيف دون رقابة ميزانية</t>
  </si>
  <si>
    <t xml:space="preserve">att</t>
  </si>
  <si>
    <t xml:space="preserve">ربط أجهزة البصمة ZK وBio star وNitgen وsystem max، وربط أجهزة كل فرع على حدة، والمزامنة التلقائية</t>
  </si>
  <si>
    <t xml:space="preserve">ص 95</t>
  </si>
  <si>
    <t xml:space="preserve">جداول الأعمال: يومي، أسبوعي، شهري، سنوي</t>
  </si>
  <si>
    <t xml:space="preserve">الورديات النظامية والتناوبية، وإضافة وتعديل وردية بديلة</t>
  </si>
  <si>
    <t xml:space="preserve">تعددية فترات السماح ومرونة أوقات الحضور والانصراف</t>
  </si>
  <si>
    <t xml:space="preserve">حضور الموقع عبر GPS من تطبيق الهاتف</t>
  </si>
  <si>
    <t xml:space="preserve">طلب الالتماس عند نسيان التوقيع</t>
  </si>
  <si>
    <t xml:space="preserve">عرض فني ص 68</t>
  </si>
  <si>
    <t xml:space="preserve">سياسة الأذون الخاصة بسقف شهري دون خصم</t>
  </si>
  <si>
    <t xml:space="preserve">الوقت الإضافي واحتساب نقاطه</t>
  </si>
  <si>
    <t xml:space="preserve">ص 96</t>
  </si>
  <si>
    <t xml:space="preserve">نظام الانقطاع عن العمل: لوائحه ودوريته ومراقبة المتصل والمنفصل</t>
  </si>
  <si>
    <t xml:space="preserve">لوائح جزاءات التأخير والغياب وتصاعدها عند التكرار</t>
  </si>
  <si>
    <t xml:space="preserve">العطلات الرسمية وحالتها مدفوعة من عدمها وتخصيصها لفروع</t>
  </si>
  <si>
    <t xml:space="preserve">داش بورد الموظف والمدير بمتغيرات الشهر</t>
  </si>
  <si>
    <t xml:space="preserve">ص 98</t>
  </si>
  <si>
    <t xml:space="preserve">سبعة تقارير حضور وخمسة تقارير إجازات</t>
  </si>
  <si>
    <t xml:space="preserve">ص 96–97</t>
  </si>
  <si>
    <t xml:space="preserve">تعريف فترات الراحة داخل الوردية</t>
  </si>
  <si>
    <t xml:space="preserve">قائمة الوظائف بند 38</t>
  </si>
  <si>
    <t xml:space="preserve">مواقع العمل — إحداثيات الفروع لضبط نطاق البصمة</t>
  </si>
  <si>
    <t xml:space="preserve">بند 42</t>
  </si>
  <si>
    <t xml:space="preserve">ربط موظف بموقع عمل لفترة محددة (تكليف مؤقت)</t>
  </si>
  <si>
    <t xml:space="preserve">بند 43</t>
  </si>
  <si>
    <t xml:space="preserve">جدول الشرائح — قواعد حسابية مختلفة لكل فترة زمنية</t>
  </si>
  <si>
    <t xml:space="preserve">بند 45</t>
  </si>
  <si>
    <t xml:space="preserve">دعم ورديات 24 ساعة مع احتساب البصمة عبر يومين</t>
  </si>
  <si>
    <t xml:space="preserve">بند 46</t>
  </si>
  <si>
    <t xml:space="preserve">الورديات المرنة — آلية منفصلة لاحتساب التأخير وعدم استيفاء الساعات</t>
  </si>
  <si>
    <t xml:space="preserve">بند 47</t>
  </si>
  <si>
    <t xml:space="preserve">رصيد الغياب الافتتاحي</t>
  </si>
  <si>
    <t xml:space="preserve">بند 49</t>
  </si>
  <si>
    <t xml:space="preserve">إشعارات الانقطاع عن العمل الآلية عند تجاوز الحد</t>
  </si>
  <si>
    <t xml:space="preserve">بند 50</t>
  </si>
  <si>
    <t xml:space="preserve">استيراد بيانات الحضور مع التعديل اليدوي وتصديرها</t>
  </si>
  <si>
    <t xml:space="preserve">بند 51 و53</t>
  </si>
  <si>
    <t xml:space="preserve">تسوية نتائج الحضور قبل احتساب الخصومات</t>
  </si>
  <si>
    <t xml:space="preserve">بند 52</t>
  </si>
  <si>
    <t xml:space="preserve">مواقع الحضور — دوام الموظفين بالفروع بناءً على التكليفات</t>
  </si>
  <si>
    <t xml:space="preserve">بند 54</t>
  </si>
  <si>
    <t xml:space="preserve">تسجيل حضور العمالة المؤقتة يدوياً</t>
  </si>
  <si>
    <t xml:space="preserve">بند 55</t>
  </si>
  <si>
    <t xml:space="preserve">أرشيف حركات ماكينات الحضور (بصمات خام)</t>
  </si>
  <si>
    <t xml:space="preserve">بند 56</t>
  </si>
  <si>
    <t xml:space="preserve">استيراد الورديات غير النظامية من Excel وتسويتها</t>
  </si>
  <si>
    <t xml:space="preserve">بند 57–58</t>
  </si>
  <si>
    <t xml:space="preserve">ربط أجهزة ZKTeco بتقنية التعرف على الوجه</t>
  </si>
  <si>
    <t xml:space="preserve">بند 59</t>
  </si>
  <si>
    <t xml:space="preserve">تجاهل بصمة الحضور عند تقارب البصمات (5 دقائق)</t>
  </si>
  <si>
    <t xml:space="preserve">بند 63</t>
  </si>
  <si>
    <t xml:space="preserve">التقارير على سبيل المثال: نتائج الحضور التفصيلية والإجمالية، الحضور بالمواقع، القوى العاملة بالمواقع، الورديات، التأخيرات، سجل الأيام، الوقت الإضافي، الغياب</t>
  </si>
  <si>
    <t xml:space="preserve">بند 64–77</t>
  </si>
  <si>
    <t xml:space="preserve">طلب إذن قبل بصمة الحضور — غير مقيّد بمدة الوردية</t>
  </si>
  <si>
    <t xml:space="preserve">بند 62</t>
  </si>
  <si>
    <t xml:space="preserve">العمل عن بُعد والعمل الميداني كنوع حضور مستقل</t>
  </si>
  <si>
    <t xml:space="preserve">فرق المواقع لا تبصم في المقر، والمأمورية لا تغطي العمل اليومي بالموقع</t>
  </si>
  <si>
    <t xml:space="preserve">تقويم ورديات المواقع البعيدة بدورات عمل وراحة</t>
  </si>
  <si>
    <t xml:space="preserve">الورديات التناوبية موجودة لكن دورة العمل والراحة للمواقع النائية نمط مختلف</t>
  </si>
  <si>
    <t xml:space="preserve">lev</t>
  </si>
  <si>
    <t xml:space="preserve">أنواع الإجازات وأرصدتها وسياسة الاستحقاق والترحيل</t>
  </si>
  <si>
    <t xml:space="preserve">خطة الإجازات على مستوى الشركة</t>
  </si>
  <si>
    <t xml:space="preserve">استحقاق وترصيد وتسوية الإجازات</t>
  </si>
  <si>
    <t xml:space="preserve">ص 97</t>
  </si>
  <si>
    <t xml:space="preserve">قطع وإلغاء وتمديد الإجازة</t>
  </si>
  <si>
    <t xml:space="preserve">عرض فني ص 74</t>
  </si>
  <si>
    <t xml:space="preserve">مراجعة الإجازة المرضية وخصمها من الرصيد</t>
  </si>
  <si>
    <t xml:space="preserve">تسويات الإجازات — رصيد افتتاحي وخصم أيام تجاوز واستبدال نقدي</t>
  </si>
  <si>
    <t xml:space="preserve">قائمة الوظائف بند 80</t>
  </si>
  <si>
    <t xml:space="preserve">سياسات أنواع الإجازات: احتساب الرصيد وفترات الانتظار والإجازات المفتوحة</t>
  </si>
  <si>
    <t xml:space="preserve">بند 82</t>
  </si>
  <si>
    <t xml:space="preserve">احتساب الإجازات المرتبطة بأيام الراحة الأسبوعية بمرونة حسب النوع</t>
  </si>
  <si>
    <t xml:space="preserve">بند 83</t>
  </si>
  <si>
    <t xml:space="preserve">إشعارات آلية لمراقبة الأرصدة والتنبيه عند تجاوز الحدود</t>
  </si>
  <si>
    <t xml:space="preserve">بند 84</t>
  </si>
  <si>
    <t xml:space="preserve">عرض ديناميكي للرصيد في شاشة الطلب حسب نوع الإجازة</t>
  </si>
  <si>
    <t xml:space="preserve">بند 85</t>
  </si>
  <si>
    <t xml:space="preserve">دورة العودة من الإجازة واعتمادها</t>
  </si>
  <si>
    <t xml:space="preserve">بند 105 و185</t>
  </si>
  <si>
    <t xml:space="preserve">التقارير على سبيل المثال: كشف الإجازات، الأرصدة، تسوية الإجازات، كشف الحساب، خطة الإجازة، الاستحقاق والترحيل، الترصيد</t>
  </si>
  <si>
    <t xml:space="preserve">بند 87–96</t>
  </si>
  <si>
    <t xml:space="preserve">تعيين بديل أثناء الإجازة وتفويض الصلاحيات مؤقتاً</t>
  </si>
  <si>
    <t xml:space="preserve">غياب الموظف يوقف سلسلة الاعتماد</t>
  </si>
  <si>
    <t xml:space="preserve">إجازة الأمومة والوضع والمرافق وفق قانون العمل الليبي</t>
  </si>
  <si>
    <t xml:space="preserve">«أمومة» ترد كنوع جدول حضور لا كنوع إجازة برصيد ومدة</t>
  </si>
  <si>
    <t xml:space="preserve">سقف رصيد الإجازات المرحّلة وتاريخ انتهائه</t>
  </si>
  <si>
    <t xml:space="preserve">الترحيل مذكور دون سقف، فيتراكم التزام مالي غير مرئي</t>
  </si>
  <si>
    <t xml:space="preserve">pay</t>
  </si>
  <si>
    <t xml:space="preserve">معادلات المرتب المكوّنة من استقطاعات وإضافات</t>
  </si>
  <si>
    <t xml:space="preserve">تحديد المرتب على الوظيفة و/أو على الموظف</t>
  </si>
  <si>
    <t xml:space="preserve">تعريف ثوابت ومتغيرات الراتب: استحقاقات، استقطاعات، مزايا</t>
  </si>
  <si>
    <t xml:space="preserve">توزيع حسابات المرتبات على مراكز التكلفة بالإدارات والأقسام</t>
  </si>
  <si>
    <t xml:space="preserve">إعداد كشف المرتبات ومسير الرواتب</t>
  </si>
  <si>
    <t xml:space="preserve">ص 65 و97</t>
  </si>
  <si>
    <t xml:space="preserve">كشف الحوافظ وقيمة الصكوك لكل مصرف</t>
  </si>
  <si>
    <t xml:space="preserve">ص 65</t>
  </si>
  <si>
    <t xml:space="preserve">استلام صكوك الحوافظ وإحالتها للمصرف</t>
  </si>
  <si>
    <t xml:space="preserve">كشف المكافآت وكشف الزيادة السنوية</t>
  </si>
  <si>
    <t xml:space="preserve">أنواع السلف ومسار عمل كل نوع وعدد الأقساط وقيمة القسط</t>
  </si>
  <si>
    <t xml:space="preserve">جدولة أقساط السلفة ونسبة استقطاعها من الراتب</t>
  </si>
  <si>
    <t xml:space="preserve">تسوية السلفة ومعالجة السلف السابقة</t>
  </si>
  <si>
    <t xml:space="preserve">عرض فني ص 63</t>
  </si>
  <si>
    <t xml:space="preserve">قيود يومية الأجور</t>
  </si>
  <si>
    <t xml:space="preserve">تصفية مستحقات الموظف</t>
  </si>
  <si>
    <t xml:space="preserve">إخطار استحقاق المرتب شهرياً</t>
  </si>
  <si>
    <t xml:space="preserve">التصديق على الرواتب — اعتماد عملية الاحتساب كخطوة مستقلة</t>
  </si>
  <si>
    <t xml:space="preserve">قائمة الوظائف بند 204</t>
  </si>
  <si>
    <t xml:space="preserve">جدول القيد — متابعة القيود لكل فرع</t>
  </si>
  <si>
    <t xml:space="preserve">بند 205</t>
  </si>
  <si>
    <t xml:space="preserve">تحويل الراتب</t>
  </si>
  <si>
    <t xml:space="preserve">بند 206</t>
  </si>
  <si>
    <t xml:space="preserve">تكامل بيانات الأذونات مع منظومة الرواتب لاحتساب صافي الوقت</t>
  </si>
  <si>
    <t xml:space="preserve">بند 207</t>
  </si>
  <si>
    <t xml:space="preserve">تقرير توزيع الأجور على مراكز التكلفة</t>
  </si>
  <si>
    <t xml:space="preserve">بند 210</t>
  </si>
  <si>
    <t xml:space="preserve">آلية صرف العهدة (طلب صرف + مستند إقرار استلام)</t>
  </si>
  <si>
    <t xml:space="preserve">بند 214</t>
  </si>
  <si>
    <t xml:space="preserve">استيراد تفاصيل وأرصدة عهد الموظفين من Excel في بداية التشغيل</t>
  </si>
  <si>
    <t xml:space="preserve">بند 215</t>
  </si>
  <si>
    <t xml:space="preserve">تصنيف العهدة ورقمها المسلسل وحالتها ومكانها، وكشف متابعتها</t>
  </si>
  <si>
    <t xml:space="preserve">بند 216 و219</t>
  </si>
  <si>
    <t xml:space="preserve">تقرير مسير الرواتب</t>
  </si>
  <si>
    <t xml:space="preserve">بند 208</t>
  </si>
  <si>
    <t xml:space="preserve">شاشة استلام قيمة سلفة في HR مربوطة بمقبوضات DC</t>
  </si>
  <si>
    <t xml:space="preserve">بند 221</t>
  </si>
  <si>
    <t xml:space="preserve">قيد التنفيذ</t>
  </si>
  <si>
    <t xml:space="preserve">تحميل طلبات السلفة الصادرة من HR في DC عند إصدار إيصال دفع</t>
  </si>
  <si>
    <t xml:space="preserve">بند 222</t>
  </si>
  <si>
    <t xml:space="preserve">معادلات الضمان الاجتماعي وضريبة الدخل وضريبة الجهاد بشرائحها الليبية</t>
  </si>
  <si>
    <t xml:space="preserve">الوثيقة تذكر «سداد ضرائب والضمان» في المدفوعات ولا تعرّف المعادلات؛ وهذا أخطر نقص في المرتبات</t>
  </si>
  <si>
    <t xml:space="preserve">البدلات المسماة: سكن، نقل، طبيعة عمل، مناوبة، عمل بالمواقع</t>
  </si>
  <si>
    <t xml:space="preserve">فرق المواقع تستحق بدلات مختلفة؛ الوثيقة تذكر البدلات في رسم توضيحي فقط</t>
  </si>
  <si>
    <t xml:space="preserve">مسير تكميلي ومسير بأثر رجعي</t>
  </si>
  <si>
    <t xml:space="preserve">لتسوية فروقات الترقية والزيادة السنوية المتأخرة</t>
  </si>
  <si>
    <t xml:space="preserve">الحجز القضائي والنفقة واقتطاعات الغير</t>
  </si>
  <si>
    <t xml:space="preserve">مطلوبة قانوناً ولها أولوية على باقي الاستقطاعات</t>
  </si>
  <si>
    <t xml:space="preserve">سقف الاستقطاع الشهري كنسبة من صافي المرتب</t>
  </si>
  <si>
    <t xml:space="preserve">يمنع نزول صافي المرتب إلى الصفر عند تراكم السلف والجزاءات</t>
  </si>
  <si>
    <t xml:space="preserve">موازنة الأجور التقديرية ومقارنتها بالفعلي شهرياً</t>
  </si>
  <si>
    <t xml:space="preserve">بند الأجور هو أكبر مصروف تشغيلي ولا رقابة عليه في الوثيقة</t>
  </si>
  <si>
    <t xml:space="preserve">التكلفة الكلية للموظف: المرتب + التأمينات + المزايا</t>
  </si>
  <si>
    <t xml:space="preserve">لتحميلها على المشاريع ومراكز التكلفة بدل المرتب وحده</t>
  </si>
  <si>
    <t xml:space="preserve">apr</t>
  </si>
  <si>
    <t xml:space="preserve">دليل معايير التقييم: المظهر، سرعة العمل، اللباقة، المرونة، الغياب</t>
  </si>
  <si>
    <t xml:space="preserve">ربط المعيار بمعادلة تُحتسب تلقائياً مثل الغياب من الحضور والانصراف</t>
  </si>
  <si>
    <t xml:space="preserve">دليل درجات التقييم وتقدير كل درجة</t>
  </si>
  <si>
    <t xml:space="preserve">دليل نماذج التقييم مربوطة بالوظيفة</t>
  </si>
  <si>
    <t xml:space="preserve">خطة التقييم الدورية: شهري، ربع سنوي، نصف سنوي، سنوي</t>
  </si>
  <si>
    <t xml:space="preserve">الفئات المستهدفة لكل خطة ومسار اعتمادها</t>
  </si>
  <si>
    <t xml:space="preserve">طلب تقييم الموظف وإخطاره بالنتيجة</t>
  </si>
  <si>
    <t xml:space="preserve">عرض فني ص 60</t>
  </si>
  <si>
    <t xml:space="preserve">كشف تقييم الأداء وتقارير تحليل المعايير</t>
  </si>
  <si>
    <t xml:space="preserve">عرض تقييمات الأداء الدورية في الخدمة الذاتية</t>
  </si>
  <si>
    <t xml:space="preserve">قائمة الوظائف بند 160</t>
  </si>
  <si>
    <t xml:space="preserve">تقييمات الموظفين — تعبئة النموذج من المدير</t>
  </si>
  <si>
    <t xml:space="preserve">بند 186</t>
  </si>
  <si>
    <t xml:space="preserve">قاعدة معلنة تربط نتيجة التقييم بالزيادة والترقية</t>
  </si>
  <si>
    <t xml:space="preserve">الباقات تذكر «ربط التقييم بالأجور والمرتبات» دون تحديد القاعدة</t>
  </si>
  <si>
    <t xml:space="preserve">أهداف فردية قابلة للقياس إلى جانب معايير السلوك</t>
  </si>
  <si>
    <t xml:space="preserve">المعايير الخمسة في الوثيقة سلوكية بالكامل ولا تقيس إنجازاً</t>
  </si>
  <si>
    <t xml:space="preserve">معايرة توزيع التقديرات بين الإدارات</t>
  </si>
  <si>
    <t xml:space="preserve">دونها تتضخم التقديرات وتفقد الزيادة معناها</t>
  </si>
  <si>
    <t xml:space="preserve">التظلم من نتيجة التقييم</t>
  </si>
  <si>
    <t xml:space="preserve">الوثيقة فيها تظلم من قرار إداري فقط</t>
  </si>
  <si>
    <t xml:space="preserve">req</t>
  </si>
  <si>
    <t xml:space="preserve">طلبات الحضور والإجازات: إجازة، إذن خاص، التماس، تغيير وردية، وقت إضافي، عودة من إجازة</t>
  </si>
  <si>
    <t xml:space="preserve">قائمة الوظائف بند 97–105</t>
  </si>
  <si>
    <t xml:space="preserve">طلبات المأموريات والسفر: تكليف مأمورية، صرف مصاريف انتقال، تذاكر سفر</t>
  </si>
  <si>
    <t xml:space="preserve">بند 99 و112–113</t>
  </si>
  <si>
    <t xml:space="preserve">طلبات السلف والعهد: سلفة، تأجيل أقساط، تسوية، إعادة جدولة، إعفاء، طلب عهدة</t>
  </si>
  <si>
    <t xml:space="preserve">بند 107–111 و121</t>
  </si>
  <si>
    <t xml:space="preserve">طلبات شؤون الموظف: ترك الخدمة، التصفية، توقيع جزاء، زيادة الراتب، شكوى/تظلم، تحديث بيانات، خطاب HR، رفع مسوغ تعيين</t>
  </si>
  <si>
    <t xml:space="preserve">بند 103–106 و114–118 و124</t>
  </si>
  <si>
    <t xml:space="preserve">طلبات الاجتماعات والمواقع: اجتماع وحجز قاعة، اعتذار، تحديد مواقع GPS، تحديث موقع عميل، تصريح زيارة</t>
  </si>
  <si>
    <t xml:space="preserve">بند 116 و119–123</t>
  </si>
  <si>
    <t xml:space="preserve">الطلبات الجماعية: تغيير وردية، التماس، إجازة، مأمورية</t>
  </si>
  <si>
    <t xml:space="preserve">بند 125–128</t>
  </si>
  <si>
    <t xml:space="preserve">تصميم مسار الطلب حسب الهيكل الإداري وعدد الموافقات</t>
  </si>
  <si>
    <t xml:space="preserve">بند 129</t>
  </si>
  <si>
    <t xml:space="preserve">خيارات الاعتماد: موافقة / رفض / رجوع بملاحظات / عرض على مدير</t>
  </si>
  <si>
    <t xml:space="preserve">بند 130</t>
  </si>
  <si>
    <t xml:space="preserve">آلية مرنة لفترات الانتظار في مسارات الطلبات</t>
  </si>
  <si>
    <t xml:space="preserve">بند 132</t>
  </si>
  <si>
    <t xml:space="preserve">تحويل الطلبات عند انشغال المدير («طلب غير متاح»)</t>
  </si>
  <si>
    <t xml:space="preserve">بند 177</t>
  </si>
  <si>
    <t xml:space="preserve">دعم أذونات متعددة خلال اليوم الواحد وتقاريرها</t>
  </si>
  <si>
    <t xml:space="preserve">بند 133–136</t>
  </si>
  <si>
    <t xml:space="preserve">ess</t>
  </si>
  <si>
    <t xml:space="preserve">ملف الموظف: الملف الشخصي، شجرة المديرين، التكليفات السابقة، العهد، النقاط، مسوغات التعيين، الجزاءات</t>
  </si>
  <si>
    <t xml:space="preserve">قائمة الوظائف بند 137–144</t>
  </si>
  <si>
    <t xml:space="preserve">المرجعيات: العطلات الرسمية، أرشيف القرارات، دليل الإجراءات، دليل الموظفين، مستندات الشركة</t>
  </si>
  <si>
    <t xml:space="preserve">بند 145–148 و194</t>
  </si>
  <si>
    <t xml:space="preserve">الكشوف المالية للموظف: كشف الحساب، كشف السلف، كشف الرواتب</t>
  </si>
  <si>
    <t xml:space="preserve">بند 157–159</t>
  </si>
  <si>
    <t xml:space="preserve">تطبيق الجوال: iOS وAndroid، لغتان، إشعارات فورية، اعتماد الطلبات، المهام اليومية، المرفقات</t>
  </si>
  <si>
    <t xml:space="preserve">بند 161–167</t>
  </si>
  <si>
    <t xml:space="preserve">النشر والتهيئة: Google Play، App Store، Firebase، الخرائط، إخفاء اسم قاعدة البيانات، خيارات OTP</t>
  </si>
  <si>
    <t xml:space="preserve">بند 168–176</t>
  </si>
  <si>
    <t xml:space="preserve">أدوات المدير: داش بورد المدير والموظف، اعتماد فردي وجماعي، أرصدة الفريق، نتائج المأموريات، تسوية الورديات</t>
  </si>
  <si>
    <t xml:space="preserve">بند 187–193</t>
  </si>
  <si>
    <t xml:space="preserve">إجراءات يبدأها المدير: طلب توظيف، تكليف مأمورية، توقيع جزاء، إصدار قرار أو تعميم، تقييمات الموظفين</t>
  </si>
  <si>
    <t xml:space="preserve">بند 178–186</t>
  </si>
  <si>
    <t xml:space="preserve">pur</t>
  </si>
  <si>
    <t xml:space="preserve">دليل جهات التعامل (الموردين) ودليل المندوبين</t>
  </si>
  <si>
    <t xml:space="preserve">دليل الأصناف السلعية والخدمية والخصومات</t>
  </si>
  <si>
    <t xml:space="preserve">مسارات الاعتماد ودفاتر العمليات الستة وربطها بالمخازن والمدفوعات والحسابات</t>
  </si>
  <si>
    <t xml:space="preserve">طلب الشراء: الإنشاء من الإدارات، الاعتماد حسب الصلاحيات، متابعة الحالة</t>
  </si>
  <si>
    <t xml:space="preserve">ص 98 و65</t>
  </si>
  <si>
    <t xml:space="preserve">عروض الأسعار: التسجيل والاعتماد الإلكتروني، وإرسال RFQ للموردين</t>
  </si>
  <si>
    <t xml:space="preserve">أوامر الشراء: الإصدار والاعتماد الإلكتروني ومتابعة الحالة</t>
  </si>
  <si>
    <t xml:space="preserve">فاتورة المشتريات وتحميلها من أمر الشراء، ومطابقة الفاتورة</t>
  </si>
  <si>
    <t xml:space="preserve">مردودات المشتريات وتحميلها من الفاتورة</t>
  </si>
  <si>
    <t xml:space="preserve">ص 99</t>
  </si>
  <si>
    <t xml:space="preserve">الاعتمادات المستندية: فتح الاعتماد، مصاريف الاعتماد، دخول الشحنة، التسعير</t>
  </si>
  <si>
    <t xml:space="preserve">تكليف شركات شحن وتفتيش</t>
  </si>
  <si>
    <t xml:space="preserve">الخدمات التسع: إيجار مبنى، كهرباء ومقسمات، علاقات عامة، صيانة سيارات، تأمين إجباري وشامل، نثرية، تنظيف، وقود</t>
  </si>
  <si>
    <t xml:space="preserve">ص 66</t>
  </si>
  <si>
    <t xml:space="preserve">المشاريع: إيجارات المواقع، سداد فواتير مشتريات المشاريع</t>
  </si>
  <si>
    <t xml:space="preserve">خمسة تقارير: طلبات الشراء، أوامر الشراء، حسابات الموردين، المشتريات، عروض الأسعار</t>
  </si>
  <si>
    <t xml:space="preserve">المطابقة الفنية للعروض — فجوة غير مدعومة</t>
  </si>
  <si>
    <t xml:space="preserve">التقييم المالي والترسية — فجوة غير مدعومة</t>
  </si>
  <si>
    <t xml:space="preserve">تفصيل مسار اعتماد طلب الشراء: مدير مباشر ← رئيس قسم ← مدير إدارة ← مدير عام</t>
  </si>
  <si>
    <t xml:space="preserve">قائمة الوظائف بند 236</t>
  </si>
  <si>
    <t xml:space="preserve">اعتماد أمر الشراء: رئيس قسم + مدير إدارة + مكتب المراجعة</t>
  </si>
  <si>
    <t xml:space="preserve">بند 241</t>
  </si>
  <si>
    <t xml:space="preserve">إنشاء طلب الشراء إلكترونياً من الجهة الطالبة</t>
  </si>
  <si>
    <t xml:space="preserve">بند 235</t>
  </si>
  <si>
    <t xml:space="preserve">تسجيل فاتورة المشتريات محمّلة من أمر الشراء أو من الاستلام المخزني</t>
  </si>
  <si>
    <t xml:space="preserve">بند 243</t>
  </si>
  <si>
    <t xml:space="preserve">ربط دفعة مقدمة مباشرة بفاتورة معينة</t>
  </si>
  <si>
    <t xml:space="preserve">بند 245</t>
  </si>
  <si>
    <t xml:space="preserve">تقرير مصروفات الخدمات موزّعاً على فترة الاستفادة الفعلية</t>
  </si>
  <si>
    <t xml:space="preserve">بند 246</t>
  </si>
  <si>
    <t xml:space="preserve">تأهيل الموردين وتصنيفهم وقائمة الموردين المعتمدين</t>
  </si>
  <si>
    <t xml:space="preserve">الوثيقة فيها دليل موردين دون معيار دخول، فيصير الشراء من أي جهة ممكناً</t>
  </si>
  <si>
    <t xml:space="preserve">تقييم أداء المورد بعد التوريد: الالتزام بالمدة والكمية والمواصفة</t>
  </si>
  <si>
    <t xml:space="preserve">ورد في العرض الفني ص 32 وغاب عن المخطط؛ وهو ما يغذّي قائمة المعتمدين</t>
  </si>
  <si>
    <t xml:space="preserve">لجان الفتح والتقييم والترسية ومحاضرها</t>
  </si>
  <si>
    <t xml:space="preserve">هي جوهر الفجوتين غير المدعومتين، وتطويرهما يحتاج توصيفاً للجان أولاً</t>
  </si>
  <si>
    <t xml:space="preserve">سجل الضمانات: ابتدائي وحسن تنفيذ وصيانة، وتواريخ انتهائها</t>
  </si>
  <si>
    <t xml:space="preserve">«سداد ضمانات» و«تحصيل ضمانات» في المالية دون سجل يتابع ردّها</t>
  </si>
  <si>
    <t xml:space="preserve">العقود الإطارية وأوامر الشراء المفتوحة</t>
  </si>
  <si>
    <t xml:space="preserve">الخدمات التسع متكررة شهرياً، وإصدار أمر شراء لكل مرة عبث</t>
  </si>
  <si>
    <t xml:space="preserve">سقف صلاحية الشراء بالقيمة لكل مستوى اعتماد</t>
  </si>
  <si>
    <t xml:space="preserve">الوثيقة تذكر «الاعتماد حسب الصلاحيات» دون ربطه بقيمة الطلب</t>
  </si>
  <si>
    <t xml:space="preserve">ثلاثية المطابقة: أمر شراء وإذن إضافة وفاتورة قبل السداد</t>
  </si>
  <si>
    <t xml:space="preserve">«مطابقة فاتورة» وردت دون تعريف أطرافها؛ وهي أهم ضابط رقابي في الشراء</t>
  </si>
  <si>
    <t xml:space="preserve">X7</t>
  </si>
  <si>
    <t xml:space="preserve">ربط طلب الشراء بمشروع أو مركز تكلفة</t>
  </si>
  <si>
    <t xml:space="preserve">المشاريع بندان فقط في Fit-Gap، والشركة نشاطها مشاريع</t>
  </si>
  <si>
    <t xml:space="preserve">X8</t>
  </si>
  <si>
    <t xml:space="preserve">سجل المطالبات والغرامات على الموردين</t>
  </si>
  <si>
    <t xml:space="preserve">لا تُنفّذ غرامة تأخير بلا سجل يربطها بالأمر والفاتورة</t>
  </si>
  <si>
    <t xml:space="preserve">inv</t>
  </si>
  <si>
    <t xml:space="preserve">دليل الأصناف وتصنيفاتها ومجموعاتها</t>
  </si>
  <si>
    <t xml:space="preserve">وحدات القياس ودليل مواصفات الأصناف</t>
  </si>
  <si>
    <t xml:space="preserve">مسارات اعتماد عمليات طلبات المخازن</t>
  </si>
  <si>
    <t xml:space="preserve">طرق تسعير المخزون: متوسط التكلفة المرجح، الوارد أولاً صادر أولاً، بدون رقم قطعة</t>
  </si>
  <si>
    <t xml:space="preserve">أنواع الأكواد وأنواع خصائص الصنف</t>
  </si>
  <si>
    <t xml:space="preserve">المصروفات المباشرة وغير المباشرة</t>
  </si>
  <si>
    <t xml:space="preserve">أنواع حركة الإضافة والصرف</t>
  </si>
  <si>
    <t xml:space="preserve">عمليات طلبات المخازن: طلب صرف، طلب إضافة</t>
  </si>
  <si>
    <t xml:space="preserve">ص 100</t>
  </si>
  <si>
    <t xml:space="preserve">حركات المخازن: الصرف والإضافة</t>
  </si>
  <si>
    <t xml:space="preserve">التحويل بين المخازن: طلب تحويل وتحويل مباشر</t>
  </si>
  <si>
    <t xml:space="preserve">عملية ضبط السعر</t>
  </si>
  <si>
    <t xml:space="preserve">الجرد: إعداد قوائم الجرد، إدخال النتائج الفعلية، معالجة الفروقات</t>
  </si>
  <si>
    <t xml:space="preserve">استلام معدات من المشتريات، واستلام من عهدة، واستلام معدات عاطلة ومستعملة</t>
  </si>
  <si>
    <t xml:space="preserve">صرف مواد، ترجيع مواد من المشاريع، إرجاع من صرف خاطئ</t>
  </si>
  <si>
    <t xml:space="preserve">أربعة تقارير: الأرصدة، حركة الأصناف، تحليلية، الجرد والفروقات</t>
  </si>
  <si>
    <t xml:space="preserve">تعريف المخازن</t>
  </si>
  <si>
    <t xml:space="preserve">قائمة الوظائف بند 256</t>
  </si>
  <si>
    <t xml:space="preserve">نقطة إعادة الطلب للأصناف</t>
  </si>
  <si>
    <t xml:space="preserve">بند 262</t>
  </si>
  <si>
    <t xml:space="preserve">طلب صرف مخزني إلكتروني مع مسار اعتماد</t>
  </si>
  <si>
    <t xml:space="preserve">بند 263</t>
  </si>
  <si>
    <t xml:space="preserve">طلب إضافة مخزنية إلكتروني مع مسار اعتماد</t>
  </si>
  <si>
    <t xml:space="preserve">بند 264</t>
  </si>
  <si>
    <t xml:space="preserve">مستويات اعتماد متعددة في شاشة التحويل بين المخازن</t>
  </si>
  <si>
    <t xml:space="preserve">بند 270</t>
  </si>
  <si>
    <t xml:space="preserve">شاشة محضر الحصر</t>
  </si>
  <si>
    <t xml:space="preserve">بند 272</t>
  </si>
  <si>
    <t xml:space="preserve">فلترة طلبات الصرف والإضافة بالاسم والرقم الوظيفي للطالب</t>
  </si>
  <si>
    <t xml:space="preserve">بند 271</t>
  </si>
  <si>
    <t xml:space="preserve">أرقام السلسلة والدفعات وتواريخ الصلاحية</t>
  </si>
  <si>
    <t xml:space="preserve">معدات الشبكات لها أرقام تسلسل وضمانات، ولا تتبّع بالكمية وحدها</t>
  </si>
  <si>
    <t xml:space="preserve">العهدة المخزنية الميدانية للفرق وتسويتها</t>
  </si>
  <si>
    <t xml:space="preserve">«استلام من عهدة» موجود كحركة دون دورة صرف ومتابعة وإرجاع</t>
  </si>
  <si>
    <t xml:space="preserve">دورة المعدات العاطلة: الفحص، الإصلاح، إعادة التدوير، الشطب</t>
  </si>
  <si>
    <t xml:space="preserve">الاستلام موجود والمعالجة بعده غائبة، فيتراكم مخزون ميت</t>
  </si>
  <si>
    <t xml:space="preserve">الإتلاف والشطب ومحاضرهما</t>
  </si>
  <si>
    <t xml:space="preserve">بند محاسبي يؤثر على القوائم ولا يرد في الوثيقة</t>
  </si>
  <si>
    <t xml:space="preserve">الجرد الدوري الجزئي إلى جانب الجرد السنوي</t>
  </si>
  <si>
    <t xml:space="preserve">الجرد الكلي مرة واحدة سنوياً يكشف الفروقات بعد فوات الأوان</t>
  </si>
  <si>
    <t xml:space="preserve">تحليل المخزون الراكد وبطيء الحركة</t>
  </si>
  <si>
    <t xml:space="preserve">لازم لقرارات الشطب والمخصصات</t>
  </si>
  <si>
    <t xml:space="preserve">ربط الصرف بأمر عمل أو مشروع</t>
  </si>
  <si>
    <t xml:space="preserve">بدونه لا تُعرف تكلفة المواد لكل موقع ومشروع</t>
  </si>
  <si>
    <t xml:space="preserve">trn</t>
  </si>
  <si>
    <t xml:space="preserve">BR-TRN-01 تصنيفات التدريب قابلة للإضافة والتعديل</t>
  </si>
  <si>
    <t xml:space="preserve">BRD ص 6</t>
  </si>
  <si>
    <t xml:space="preserve">BR-TRN-02 جهات التدريب: الاسم، النوع داخلي/خارجي، بيانات التواصل</t>
  </si>
  <si>
    <t xml:space="preserve">BR-TRN-03 الدورة التدريبية: الاسم، الرمز، التصنيف، الجهة، النوع، الأسلوب، المدة</t>
  </si>
  <si>
    <t xml:space="preserve">BRD ص 6–7</t>
  </si>
  <si>
    <t xml:space="preserve">BR-TRN-04 تسجيل أو استيراد بنود الخطة المعتمدة خارج النظام</t>
  </si>
  <si>
    <t xml:space="preserve">BRD ص 7</t>
  </si>
  <si>
    <t xml:space="preserve">BR-TRN-05 متابعة وتحديث حالة تنفيذ بنود الخطة</t>
  </si>
  <si>
    <t xml:space="preserve">BR-TRN-06 مرجع اعتماد الخطة الصادر خارج النظام مع مرفق</t>
  </si>
  <si>
    <t xml:space="preserve">BR-TRN-07 إنشاء جلسة تدريب من بند معتمد وتحديث حالته</t>
  </si>
  <si>
    <t xml:space="preserve">BRD ص 7–8</t>
  </si>
  <si>
    <t xml:space="preserve">BR-TRN-08 جلسة التدريب بحالاتها الخمس ومنسّقها وموقعها</t>
  </si>
  <si>
    <t xml:space="preserve">BRD ص 8</t>
  </si>
  <si>
    <t xml:space="preserve">BR-TRN-09 طلب تدريب من مدير الإدارة أو القسم بأساس ثلاثي: ضمن الخطة / خارجها / مشروع</t>
  </si>
  <si>
    <t xml:space="preserve">BRD ص 8–9</t>
  </si>
  <si>
    <t xml:space="preserve">BR-TRN-10 تحديد موظف أو مجموعة موظفين مستهدفين داخل الطلب</t>
  </si>
  <si>
    <t xml:space="preserve">BRD ص 9</t>
  </si>
  <si>
    <t xml:space="preserve">BR-TRN-11 معالجة الطلب والتسجيل بواسطة مسؤول التدريب</t>
  </si>
  <si>
    <t xml:space="preserve">اعتماد الإدارة العليا إلزامي للتدريب الخارجي مع مرجع القرار</t>
  </si>
  <si>
    <t xml:space="preserve">BRD ص 9–10</t>
  </si>
  <si>
    <t xml:space="preserve">BR-TRN-12 قائمة المشاركين وحالة التسجيل وحالة الإتمام</t>
  </si>
  <si>
    <t xml:space="preserve">BRD ص 10</t>
  </si>
  <si>
    <t xml:space="preserve">BR-TRN-13 نتيجة التدريب: حالة الإتمام والدرجة والملاحظات</t>
  </si>
  <si>
    <t xml:space="preserve">BR-TRN-15 تقييم الدورة مبدئي ونهائي ودرجة عامة من نماذج ورقية</t>
  </si>
  <si>
    <t xml:space="preserve">BRD ص 10–11</t>
  </si>
  <si>
    <t xml:space="preserve">BR-TRN-16 إرفاق الشهادة برقمها وتاريخي الإصدار والانتهاء</t>
  </si>
  <si>
    <t xml:space="preserve">BRD ص 11</t>
  </si>
  <si>
    <t xml:space="preserve">BR-TRN-17 السجل التدريبي ضمن ملف الموظف</t>
  </si>
  <si>
    <t xml:space="preserve">BR-TRN-18 سبعة إشعارات من آلية الإشعارات الحالية</t>
  </si>
  <si>
    <t xml:space="preserve">BRD ص 11–12</t>
  </si>
  <si>
    <t xml:space="preserve">ستة تقارير منها ملخص تقييم الدورات</t>
  </si>
  <si>
    <t xml:space="preserve">BRD ص 12</t>
  </si>
  <si>
    <t xml:space="preserve">لوحة تحكم بسبعة مؤشرات لمتابعة التنفيذ</t>
  </si>
  <si>
    <t xml:space="preserve">BRD ص 12–13</t>
  </si>
  <si>
    <t xml:space="preserve">الخدمة الذاتية: عرض حالة الطلب فقط</t>
  </si>
  <si>
    <t xml:space="preserve">BRD ص 5</t>
  </si>
  <si>
    <t xml:space="preserve">تنبيه انتهاء صلاحية الشهادة وتقرير بالمنتهية</t>
  </si>
  <si>
    <t xml:space="preserve">تاريخ الانتهاء حقل اختياري بلا تنبيه ولا تقرير — وشهادات الشبكات شرط تأهيل في المناقصات</t>
  </si>
  <si>
    <t xml:space="preserve">اشتراط إرفاق نموذج المدرّب الموقّع قبل حفظ النتيجة</t>
  </si>
  <si>
    <t xml:space="preserve">النتيجة تُدخل بلا إثبات، ومن يُدخلها هو من يُقاس أداؤه بها</t>
  </si>
  <si>
    <t xml:space="preserve">تكلفة التدريب وتحميلها على مركز تكلفة أو مشروع</t>
  </si>
  <si>
    <t xml:space="preserve">خارج النطاق صراحةً، ومراكز التكلفة عمود فقري في التصميم المالي</t>
  </si>
  <si>
    <t xml:space="preserve">مصفوفة المهارات وفجوتها لكل وظيفة</t>
  </si>
  <si>
    <t xml:space="preserve">إدارة الكفاءات وتحليل الفجوات خارج النطاق</t>
  </si>
  <si>
    <t xml:space="preserve">تعهّد التدريب واسترداد التكلفة عند الاستقالة المبكرة</t>
  </si>
  <si>
    <t xml:space="preserve">حماية استثمار الشركة في الشهادات المكلفة</t>
  </si>
  <si>
    <t xml:space="preserve">قياس أثر التدريب بالربط بالتقييم التالي</t>
  </si>
  <si>
    <t xml:space="preserve">تحديد الاحتياجات خارج النطاق، فانقطعت حلقة التقييم ← التدريب</t>
  </si>
  <si>
    <t xml:space="preserve">قاعدة لمصير المسجّلين عند إلغاء الدورة</t>
  </si>
  <si>
    <t xml:space="preserve">الحالة «ملغاة» معرّفة بلا قاعدة لما بعدها</t>
  </si>
  <si>
    <t xml:space="preserve">ربط حضور الدورة بنظام الحضور والانصراف</t>
  </si>
  <si>
    <t xml:space="preserve">المتدرّب خارج مقره سيظهر متغيّباً</t>
  </si>
  <si>
    <t xml:space="preserve">طلب التدريب من الموظف عبر الخدمة الذاتية</t>
  </si>
  <si>
    <t xml:space="preserve">أُلغي في V1.2 رغم ورود الخدمة الذاتية للطلبات في المخطط ص 94</t>
  </si>
  <si>
    <t xml:space="preserve">X9</t>
  </si>
  <si>
    <t xml:space="preserve">ترحيل السجل التدريبي السابق للموظفين</t>
  </si>
  <si>
    <t xml:space="preserve">لا بند ترحيل في الوثيقة</t>
  </si>
  <si>
    <t xml:space="preserve">hlt</t>
  </si>
  <si>
    <t xml:space="preserve">BR-HLC-01 المستفيدون والتابعون وصلة القرابة وحالة الاستحقاق وفترته</t>
  </si>
  <si>
    <t xml:space="preserve">BR-HLC-02 فئات الرعاية وسقوفها ونسب الدعم ونطاق السقف للأسرة أو الفرد</t>
  </si>
  <si>
    <t xml:space="preserve">BR-HLC-03 حقول تعريف الفئة: الدورية، الاستهلاك من السقف العام، قيد التكرار ومستواه</t>
  </si>
  <si>
    <t xml:space="preserve">BRD ص 5–6</t>
  </si>
  <si>
    <t xml:space="preserve">قاعدة قيد تكرار المعدات الطبية لكل مستفيد ولكل نوع جهاز</t>
  </si>
  <si>
    <t xml:space="preserve">BR-HLC-04 الاستحقاق السنوي وعرض السقف والمستخدم والمتبقي دون ترحيل الرصيد</t>
  </si>
  <si>
    <t xml:space="preserve">BR-HLC-05 تجاوز السقف بصلاحية مع سبب ومعتمِد ومرجع وتاريخ ومرفق وسجل تدقيق</t>
  </si>
  <si>
    <t xml:space="preserve">BR-HLC-06 منع المطالبة عند نفاد الرصيد مع رسالة تبيّن السقف والمستخدم والمتبقي</t>
  </si>
  <si>
    <t xml:space="preserve">BR-HLC-07 معادلات الاستهلاك: السقف يُستهلك من مساهمة الشركة لا من قيمة العلاج</t>
  </si>
  <si>
    <t xml:space="preserve">BR-HLC-08 طريقتا إنشاء المطالبة: الخدمة الذاتية وإدخال موظف الرعاية</t>
  </si>
  <si>
    <t xml:space="preserve">BR-HLC-09 رأس المطالبة بمستفيد واحد وإجماليات محسوبة</t>
  </si>
  <si>
    <t xml:space="preserve">BR-HLC-10 سطور الفواتير: الفئة، النوع، الجهة الطبية، القيمة المعتمدة، الدعم، التعويض</t>
  </si>
  <si>
    <t xml:space="preserve">تاريخ العلاج هو ما يحدد سنة الاستحقاق لا تاريخ الفاتورة ولا تاريخ التقديم</t>
  </si>
  <si>
    <t xml:space="preserve">BR-HLC-11 دورة حالات المطالبة الخمس والرفض بسبب وعكس الرصيد بسجل تدقيق</t>
  </si>
  <si>
    <t xml:space="preserve">ضوابط مطالبات السنوات السابقة بصلاحية استثناء موثّقة</t>
  </si>
  <si>
    <t xml:space="preserve">BR-HLC-12 ملخص أرصدة الفئات في الخدمة الذاتية</t>
  </si>
  <si>
    <t xml:space="preserve">BR-HLC-13 قائمة المطالبات وتفاصيل فواتيرها للموظف</t>
  </si>
  <si>
    <t xml:space="preserve">طريقتا الصرف: ضمن المرتب أو حافظة مستقلة، مع منع الازدواج وإرسال التعويض فقط</t>
  </si>
  <si>
    <t xml:space="preserve">BR-HLC-14 إشعارات تغيّر الحالة والإحالة للرواتب والصرف</t>
  </si>
  <si>
    <t xml:space="preserve">BR-HLC-15 خمسة تقارير منها كشف استحقاق الموظف وتفصيل الفواتير</t>
  </si>
  <si>
    <t xml:space="preserve">مصفوفة صلاحيات بأربعة أدوار</t>
  </si>
  <si>
    <t xml:space="preserve">فصل الإدخال عن الاعتماد عن الإحالة للصرف</t>
  </si>
  <si>
    <t xml:space="preserve">الوثيقة ص 9 و11 تسمح لموظف الرعاية بإدخال المطالبة معتمدة وإحالتها للمرتب — أخطر خلل رقابي في الملاحق الأربعة</t>
  </si>
  <si>
    <t xml:space="preserve">شبكة مقدّمي الخدمة واتفاقيات الأسعار</t>
  </si>
  <si>
    <t xml:space="preserve">وردت في المخطط ص 95 وغابت؛ الجهة الطبية حقل على الفاتورة لا سجل معتمدين بأسعار</t>
  </si>
  <si>
    <t xml:space="preserve">الموافقة المسبقة قبل تلقّي العلاج</t>
  </si>
  <si>
    <t xml:space="preserve">وردت في المخطط ص 95 وغابت تماماً؛ الموظف يعالج ثم يكتشف أن السقف نفد</t>
  </si>
  <si>
    <t xml:space="preserve">مطابقة فاتورة المقدّم المجمّعة بالمطالبات الفردية</t>
  </si>
  <si>
    <t xml:space="preserve">المستشفى يرسل فاتورة شهرية واحدة، ولا آلية لمطابقتها</t>
  </si>
  <si>
    <t xml:space="preserve">إصدار البطاقات وتجديدها وإيقافها عند انتهاء الخدمة</t>
  </si>
  <si>
    <t xml:space="preserve">بطاقة موظف غادر وما زالت تعمل = تكلفة مباشرة</t>
  </si>
  <si>
    <t xml:space="preserve">نسبة الخسارة لكل باقة</t>
  </si>
  <si>
    <t xml:space="preserve">لا أساس رقمي لإعادة التفاوض السنوي</t>
  </si>
  <si>
    <t xml:space="preserve">عكس مطالبة صُرفت فعلاً عبر المرتب</t>
  </si>
  <si>
    <t xml:space="preserve">العكس مغطّى بعد الاعتماد لا بعد الصرف، واسترداد الزائد حالة واقعية</t>
  </si>
  <si>
    <t xml:space="preserve">تعريف السنة المالية صراحةً</t>
  </si>
  <si>
    <t xml:space="preserve">الاستحقاق السنوي مبني عليها وهي غير معرّفة في الوثيقة</t>
  </si>
  <si>
    <t xml:space="preserve">تقرير يقرأ سجل التدقيق والتجاوزات</t>
  </si>
  <si>
    <t xml:space="preserve">السجل يُكتب ولا يوجد ما يقرؤه</t>
  </si>
  <si>
    <t xml:space="preserve">إدخال نسب الدعم والسقوف الفعلية بدل X% و Y%</t>
  </si>
  <si>
    <t xml:space="preserve">جدول الفئات ص 5 بحروف لا بأرقام؛ لائحة الشركة لم تدخل الوثيقة</t>
  </si>
  <si>
    <t xml:space="preserve">X10</t>
  </si>
  <si>
    <t xml:space="preserve">ترحيل المطالبات والأرصدة الجارية لهذا العام</t>
  </si>
  <si>
    <t xml:space="preserve">dms</t>
  </si>
  <si>
    <t xml:space="preserve">BR-DOC-01 فئات المستندات مرتبطة بالإدارات وقابلة للتعديل</t>
  </si>
  <si>
    <t xml:space="preserve">BR-DOC-02 أنواع المستندات قابلة للإضافة: مراسلة، قرار، إعلان، تعميم، مذكرة</t>
  </si>
  <si>
    <t xml:space="preserve">BR-DOC-03 سجل وارد مستقل برقم قيد متسلسل يصدره النظام</t>
  </si>
  <si>
    <t xml:space="preserve">حقول الوارد: الرقم الإشاري، تاريخ المستند، تاريخ الاستلام، الجهة، الموضوع، النوع، التصنيف، المرفق</t>
  </si>
  <si>
    <t xml:space="preserve">BR-DOC-04 سجل صادر مستقل برقم صادر متسلسل</t>
  </si>
  <si>
    <t xml:space="preserve">حقول الصادر مقابلة للوارد مع الجهة المرسل إليها والنسخة النهائية</t>
  </si>
  <si>
    <t xml:space="preserve">مرجع مرتبط اختياري بين وارد وصادر</t>
  </si>
  <si>
    <t xml:space="preserve">BR-DOC-05 الصلاحية حسب الفئة، مطبّقة على السجل والمرفق معاً</t>
  </si>
  <si>
    <t xml:space="preserve">BR-DOC-06 سلامة السجل: منع الحذف، حالة «ملغاة» بسبب إلزامي، منع إعادة استخدام الرقم</t>
  </si>
  <si>
    <t xml:space="preserve">التحقق من التكرار بالرقم الإشاري والجهة والسنة</t>
  </si>
  <si>
    <t xml:space="preserve">ثمانية معايير بحث وتصفية مقيّدة بصلاحية الفئة</t>
  </si>
  <si>
    <t xml:space="preserve">ستة تقارير للوارد والصادر والتصنيف والنوع والجهة</t>
  </si>
  <si>
    <t xml:space="preserve">ثلاثة أدوار: موظف الأرشيف، مستخدم الإدارة، المسؤول المخوّل</t>
  </si>
  <si>
    <t xml:space="preserve">BRD ص 4</t>
  </si>
  <si>
    <t xml:space="preserve">دورة تداول المستند الداخلية والتأشيرات والتهميشات والإحالات</t>
  </si>
  <si>
    <t xml:space="preserve">خارج النطاق صراحةً ص 8 — وهي جوهر عمل المراسلات اليوم، وبدونها يبقى الورق</t>
  </si>
  <si>
    <t xml:space="preserve">سياسات الاحتفاظ والإتلاف</t>
  </si>
  <si>
    <t xml:space="preserve">خارج النطاق صراحةً رغم ورودها في المخطط المعتمد ص 94</t>
  </si>
  <si>
    <t xml:space="preserve">مستندات الموظفين الشخصية وأرشفتها</t>
  </si>
  <si>
    <t xml:space="preserve">خارج النطاق صراحةً رغم ورودها في المخطط ص 92–93</t>
  </si>
  <si>
    <t xml:space="preserve">البحث داخل محتوى المرفق</t>
  </si>
  <si>
    <t xml:space="preserve">المرفق صورة غير مقروءة؛ OCR خارج النطاق</t>
  </si>
  <si>
    <t xml:space="preserve">ربط المراسلة بكيان: عقد، مورّد، موظف، مشروع</t>
  </si>
  <si>
    <t xml:space="preserve">«مرجع مرتبط» نص حر لا رابط لكيان</t>
  </si>
  <si>
    <t xml:space="preserve">مؤشرات زمن المعالجة والمتأخرات</t>
  </si>
  <si>
    <t xml:space="preserve">الوثيقة ص 9 تستبعدها صراحةً، فلا رقابة على التأخر</t>
  </si>
  <si>
    <t xml:space="preserve">العلامة المائية ومنع الطباعة والتحميل</t>
  </si>
  <si>
    <t xml:space="preserve">الصلاحية تمنع الفتح ولا تضبط ما يخرج بعده</t>
  </si>
  <si>
    <t xml:space="preserve">التوقيع الإلكتروني على الصادر</t>
  </si>
  <si>
    <t xml:space="preserve">خارج النطاق؛ الاعتماد يبقى ورقياً</t>
  </si>
  <si>
    <t xml:space="preserve">الإصدارات والمقارنة بين نسختين</t>
  </si>
  <si>
    <t xml:space="preserve">خارج النطاق</t>
  </si>
  <si>
    <t xml:space="preserve">سجل تدقيق لكل فتح وتحميل</t>
  </si>
  <si>
    <t xml:space="preserve">الموجود تدقيق تعديل لا تدقيق اطّلاع</t>
  </si>
  <si>
    <t xml:space="preserve">قاعدة إعادة الضبط السنوي للترقيم</t>
  </si>
  <si>
    <t xml:space="preserve">مؤجّلة «للتصميم الفني» ص 9، وهي قاعدة عمل لا تفصيلاً تقنياً</t>
  </si>
  <si>
    <t xml:space="preserve">X11</t>
  </si>
  <si>
    <t xml:space="preserve">سقف حجم المرفق والصيغ المسموحة وتقدير التخزين</t>
  </si>
  <si>
    <t xml:space="preserve">المرفق إلزامي في كل سجل بلا حدود ولا تقدير سعة</t>
  </si>
  <si>
    <t xml:space="preserve">X12</t>
  </si>
  <si>
    <t xml:space="preserve">ترحيل دفاتر الوارد والصادر الورقية</t>
  </si>
  <si>
    <t xml:space="preserve">flt</t>
  </si>
  <si>
    <t xml:space="preserve">BR-FLT-01 سجل المركبة: الكود، اللوحة، الماركة والطراز، سنة الصنع، النوع، رقم الهيكل، الحالة</t>
  </si>
  <si>
    <t xml:space="preserve">BR-FLT-02 إسناد المركبة لموظف أو إدارة بتاريخ بدء</t>
  </si>
  <si>
    <t xml:space="preserve">BR-FLT-02 إصدار نموذج تسليم العهدة من النظام</t>
  </si>
  <si>
    <t xml:space="preserve">BR-FLT-02 إرفاق نموذج العهدة الموقّع إلزامياً قبل تفعيل الإسناد</t>
  </si>
  <si>
    <t xml:space="preserve">BR-FLT-02 تصريح القيادة كمرفق إلزامي عند إسناد مركبة لموظف يقودها</t>
  </si>
  <si>
    <t xml:space="preserve">BR-FLT-03 شاشة إرجاع مستقلة تُغلق الإسناد السابق وتحدّث الحالة</t>
  </si>
  <si>
    <t xml:space="preserve">BR-FLT-03 حالة المركبة عند الإرجاع: سليمة / تحتاج صيانة / خارج الخدمة</t>
  </si>
  <si>
    <t xml:space="preserve">حالات المركبة الأربع: متاحة، مسندة، صيانة، خارج الخدمة</t>
  </si>
  <si>
    <t xml:space="preserve">BR-FLT-04 وثائق المركبة: الرخصة، الفحص الفني، التأمين الأساسي، الشامل، أخرى — بأرقامها وتواريخها ومرفقاتها</t>
  </si>
  <si>
    <t xml:space="preserve">BR-FLT-05 سجل الصيانة: النوع، التاريخ، قراءة العداد، الوصف، الجهة المنفذة، الصيانة القادمة</t>
  </si>
  <si>
    <t xml:space="preserve">حالات الصيانة: مفتوحة، قيد التنفيذ، مكتملة</t>
  </si>
  <si>
    <t xml:space="preserve">BR-FLT-06 سجل الحوادث والمخالفات والملاحظات التشغيلية مع مرفق داعم</t>
  </si>
  <si>
    <t xml:space="preserve">BR-FLT-07 إشعارات انتهاء الوثائق واستحقاق الصيانة وتغيّر الحالة</t>
  </si>
  <si>
    <t xml:space="preserve">BR-FLT-08 خمسة تقارير منها سجل الإسناد والإرجاع الكامل للمركبة</t>
  </si>
  <si>
    <t xml:space="preserve">مصفوفة صلاحيات بثلاثة أدوار</t>
  </si>
  <si>
    <t xml:space="preserve">سجل الوقود والمصروفات التشغيلية</t>
  </si>
  <si>
    <t xml:space="preserve">أُلغي في V1.1 رغم وروده في المخطط المعتمد ص 96 — يلزمه طلب تغيير لا حذف</t>
  </si>
  <si>
    <t xml:space="preserve">قراءة العداد الدورية</t>
  </si>
  <si>
    <t xml:space="preserve">أُلغيت في V1.1؛ بقيت اختيارية عند التسليم والإرجاع فقط، فلا أساس لتكلفة الكيلومتر</t>
  </si>
  <si>
    <t xml:space="preserve">تحميل تكلفة المركبة على مركز تكلفة أو مشروع</t>
  </si>
  <si>
    <t xml:space="preserve">خارج النطاق صراحةً، ونشاط الشركة مشاريع على مواقع</t>
  </si>
  <si>
    <t xml:space="preserve">ربط المركبة بالأصول الثابتة والإهلاك</t>
  </si>
  <si>
    <t xml:space="preserve">خارج النطاق؛ المركبة أصل في الدفاتر فتظهر في سجلين لا يتطابقان</t>
  </si>
  <si>
    <t xml:space="preserve">صرف قطع الغيار من المخازن مقابل أمر الصيانة</t>
  </si>
  <si>
    <t xml:space="preserve">مخزون الورشة خارج النطاق، والصيانة تستهلك مخزوناً بلا أثر</t>
  </si>
  <si>
    <t xml:space="preserve">تتبّع رخصة السائق وتاريخ انتهائها</t>
  </si>
  <si>
    <t xml:space="preserve">الوثيقة تتبع وثائق المركبة وتهمل السائق؛ وتصريح القيادة مرفق بلا تاريخ انتهاء</t>
  </si>
  <si>
    <t xml:space="preserve">سجل مطالبات التأمين بعد الحادث</t>
  </si>
  <si>
    <t xml:space="preserve">الحادث يُسجّل كواقعة وتنتهي الدورة دون متابعة تعويض</t>
  </si>
  <si>
    <t xml:space="preserve">خصم المخالفة المرورية من السائق</t>
  </si>
  <si>
    <t xml:space="preserve">المخالفة تُسجّل بلا أثر مالي فتتحمّلها الشركة عملياً</t>
  </si>
  <si>
    <t xml:space="preserve">طلب مركبة وحجزها للاستخدام المؤقت</t>
  </si>
  <si>
    <t xml:space="preserve">الإسناد دائم فقط؛ لا آلية لمركبة تُستخدم بالتناوب</t>
  </si>
  <si>
    <t xml:space="preserve">حالة «مستبعدة من الأسطول» ضمن حالات المركبة</t>
  </si>
  <si>
    <t xml:space="preserve">دورة الحياة ص 9 تنتهي بـ Retire وهي ليست من الحالات الأربع المعرّفة</t>
  </si>
  <si>
    <t xml:space="preserve">تحديد مدة التنبيه (X) ومن يتلقّاه</t>
  </si>
  <si>
    <t xml:space="preserve">متروكة فارغة في ثلاثة مواضع من الوثيقة</t>
  </si>
  <si>
    <t xml:space="preserve">ترحيل سجل المركبات ووثائقها الحالية</t>
  </si>
  <si>
    <t xml:space="preserve">Finance</t>
  </si>
  <si>
    <t xml:space="preserve">acc</t>
  </si>
  <si>
    <t xml:space="preserve">دليل الحسابات ودليل مراكز التكلفة</t>
  </si>
  <si>
    <t xml:space="preserve">ص 104</t>
  </si>
  <si>
    <t xml:space="preserve">تصميم القوائم المالية والقوائم الختامية</t>
  </si>
  <si>
    <t xml:space="preserve">تعريف العملات واليوميات المساعدة ومميز القيد</t>
  </si>
  <si>
    <t xml:space="preserve">إصدار قيود اليومية وقيود فرق العملة</t>
  </si>
  <si>
    <t xml:space="preserve">القيد الافتتاحي لمراكز التكلفة وسجل القيود اليومية</t>
  </si>
  <si>
    <t xml:space="preserve">القيود الدورية</t>
  </si>
  <si>
    <t xml:space="preserve">ص 67</t>
  </si>
  <si>
    <t xml:space="preserve">اثنا عشر تقريراً: الأستاذ العام والمساعد، اليومية، ميزان المراجعة، تحليل القوائم، الموازنة التقديرية، مراكز التكلفة ومصفوفتها</t>
  </si>
  <si>
    <t xml:space="preserve">ص 104–105</t>
  </si>
  <si>
    <t xml:space="preserve">الأرصدة الافتتاحية</t>
  </si>
  <si>
    <t xml:space="preserve">قائمة الوظائف بند 343</t>
  </si>
  <si>
    <t xml:space="preserve">قيود احتساب الإيراد والمصروف الخاص بالخدمات وتوزيعه على الأشهر</t>
  </si>
  <si>
    <t xml:space="preserve">بند 347</t>
  </si>
  <si>
    <t xml:space="preserve">الميزانية العمومية وقائمة الدخل وقائمة التدفقات النقدية</t>
  </si>
  <si>
    <t xml:space="preserve">بند 359–361</t>
  </si>
  <si>
    <t xml:space="preserve">تقارير مراكز التكلفة: الأستاذ المساعد، ميزان المراجعة، تفصيلي، المصفوفة</t>
  </si>
  <si>
    <t xml:space="preserve">بند 355–358</t>
  </si>
  <si>
    <t xml:space="preserve">إقفال الفترة المحاسبية ومنع القيد بأثر رجعي</t>
  </si>
  <si>
    <t xml:space="preserve">غائب عن الوثيقة؛ بدونه تتغير القوائم المعتمدة بعد إصدارها</t>
  </si>
  <si>
    <t xml:space="preserve">رقابة الموازنة قبل الالتزام ومنع التجاوز</t>
  </si>
  <si>
    <t xml:space="preserve">تقرير الموازنة التقديرية موجود والرقابة غائبة</t>
  </si>
  <si>
    <t xml:space="preserve">ضريبة المبيعات الليبية والدمغة والاستقطاع من المنبع</t>
  </si>
  <si>
    <t xml:space="preserve">النظام مصري الأصل ونماذجه الضريبية مصرية</t>
  </si>
  <si>
    <t xml:space="preserve">توحيد تقارير الإدارة العامة والمنطقة الشرقية</t>
  </si>
  <si>
    <t xml:space="preserve">الوثيقة تفصل عملياتهما في بابين ولا تذكر كيف تُجمع القوائم</t>
  </si>
  <si>
    <t xml:space="preserve">pmt</t>
  </si>
  <si>
    <t xml:space="preserve">دليل جهات التعامل والحسابات البنكية والخزائن</t>
  </si>
  <si>
    <t xml:space="preserve">ص 101</t>
  </si>
  <si>
    <t xml:space="preserve">دفاتر العمليات: دفع نقدي، دفع شيك، تحويل بنكي، طلبات تحويل، طلبات صرف</t>
  </si>
  <si>
    <t xml:space="preserve">ربط المدفوعات بالأنظمة الأخرى عبر الأنواع</t>
  </si>
  <si>
    <t xml:space="preserve">إصدار دفتر شيكات</t>
  </si>
  <si>
    <t xml:space="preserve">طلب صرف: الإصدار والإحالة للاعتماد ومتابعة الحالة</t>
  </si>
  <si>
    <t xml:space="preserve">إيصال دفع نقدي وإيصال دفع شيك، والتحميل من طلب صرف أو تحويل أو فاتورة مشتريات</t>
  </si>
  <si>
    <t xml:space="preserve">التحويل البنكي والتحويل المباشر بين الخزائن</t>
  </si>
  <si>
    <t xml:space="preserve">ارتجاع شيك وسداد شيك</t>
  </si>
  <si>
    <t xml:space="preserve">أنواع السداد العشرة: موردون محليون وخارجيون، دفعة مقدمة، عهدة، سلفة، مرتبات، ضرائب وضمان، رعاية صحية، مصروف الجيب، ضمانات</t>
  </si>
  <si>
    <t xml:space="preserve">سبعة تقارير منها حالات أوراق الدفع والسيولة النقدية والبنكية المتوقعة</t>
  </si>
  <si>
    <t xml:space="preserve">ص 102</t>
  </si>
  <si>
    <t xml:space="preserve">طلب تحويل بين الخزائن واعتماده</t>
  </si>
  <si>
    <t xml:space="preserve">قائمة الوظائف بند 289</t>
  </si>
  <si>
    <t xml:space="preserve">تقارير: حركة الخزينة، الأرصدة العام، سجل الطلبات</t>
  </si>
  <si>
    <t xml:space="preserve">بند 298 و301–302</t>
  </si>
  <si>
    <t xml:space="preserve">معالجة العمليات بالعملات الأجنبية وتوليد قيود فروق الصرف الآلية</t>
  </si>
  <si>
    <t xml:space="preserve">بند 294</t>
  </si>
  <si>
    <t xml:space="preserve">طلب تحويل بين البنوك مع نظام الاعتماد الجديد</t>
  </si>
  <si>
    <t xml:space="preserve">بند 295</t>
  </si>
  <si>
    <t xml:space="preserve">تقرير تفصيلي لحركة البنك (إيداعات ومسحوبات)</t>
  </si>
  <si>
    <t xml:space="preserve">بند 303</t>
  </si>
  <si>
    <t xml:space="preserve">التسوية البنكية الشهرية مع كشف المصرف</t>
  </si>
  <si>
    <t xml:space="preserve">غائبة تماماً عن الوثيقة رغم أنها أساس الرقابة على النقدية؛ أخطر نقص في النظام المالي</t>
  </si>
  <si>
    <t xml:space="preserve">جدولة المدفوعات وأولوياتها حسب السيولة</t>
  </si>
  <si>
    <t xml:space="preserve">تقارير السيولة المتوقعة موجودة دون أداة تقرر ماذا يُدفع أولاً</t>
  </si>
  <si>
    <t xml:space="preserve">سقف صلاحية الصرف بالقيمة لكل مستوى</t>
  </si>
  <si>
    <t xml:space="preserve">الصلاحيات في الوثيقة على الشاشات لا على المبالغ</t>
  </si>
  <si>
    <t xml:space="preserve">سجل العهد المالية بأعمارها وتسويتها زمنياً</t>
  </si>
  <si>
    <t xml:space="preserve">«سداد عهدة» و«تحصيل من عهد» موجودان دون سجل يكشف العهد المتقادمة</t>
  </si>
  <si>
    <t xml:space="preserve">rcp</t>
  </si>
  <si>
    <t xml:space="preserve">دفاتر العمليات: الإيصالات، حافظة إيداع شيك، الإيداع البنكي، طلبات الاستلام</t>
  </si>
  <si>
    <t xml:space="preserve">طلب استلام واعتماده وتحميله من فاتورة مبيعات</t>
  </si>
  <si>
    <t xml:space="preserve">ص 103</t>
  </si>
  <si>
    <t xml:space="preserve">إيصال استلام نقدي وإيصال استلام شيك</t>
  </si>
  <si>
    <t xml:space="preserve">الإيداع النقدي بالبنك وحافظة إيداع الشيك</t>
  </si>
  <si>
    <t xml:space="preserve">تسجيل تحصيل الشيكات وارتداد شيك من البنك وارتجاع شيك للعميل</t>
  </si>
  <si>
    <t xml:space="preserve">أنواع التحصيل السبعة: عملاء، سلف، عهد، ضمانات، بيع أصول، بيع كراسة مواصفات</t>
  </si>
  <si>
    <t xml:space="preserve">اثنا عشر تقريراً منها الشيكات تحت التحصيل والمرتدة والواجبة التحصيل</t>
  </si>
  <si>
    <t xml:space="preserve">كشف حساب العميل</t>
  </si>
  <si>
    <t xml:space="preserve">قائمة الوظائف بند 335</t>
  </si>
  <si>
    <t xml:space="preserve">تقارير الشيكات على سبيل المثال: شيكات الغير المحصلة، تحت التحصيل، المرتدة، الواجبة التحصيل، متابعة الشيكات</t>
  </si>
  <si>
    <t xml:space="preserve">بند 328–332</t>
  </si>
  <si>
    <t xml:space="preserve">احتساب فروقات أسعار الصرف المحققة بين تاريخ الفاتورة والسداد</t>
  </si>
  <si>
    <t xml:space="preserve">بند 321</t>
  </si>
  <si>
    <t xml:space="preserve">معالجة العمليات بالعملات الأجنبية وقيود فروق الصرف</t>
  </si>
  <si>
    <t xml:space="preserve">بند 322</t>
  </si>
  <si>
    <t xml:space="preserve">أعمار الديون وسياسة المتابعة والتصعيد</t>
  </si>
  <si>
    <t xml:space="preserve">«مطالبات سداد ديون» في المبيعات بلا تقرير أعمار في المقبوضات</t>
  </si>
  <si>
    <t xml:space="preserve">خطط التقسيط والسداد الجزئي للعملاء</t>
  </si>
  <si>
    <t xml:space="preserve">نموذج الاشتراكات ينتج متأخرات تُجدول عادةً</t>
  </si>
  <si>
    <t xml:space="preserve">مخصص الديون المشكوك فيها</t>
  </si>
  <si>
    <t xml:space="preserve">بند محاسبي مطلوب للقوائم الختامية</t>
  </si>
  <si>
    <t xml:space="preserve">fa</t>
  </si>
  <si>
    <t xml:space="preserve">دفاتر العمليات: إضافة الأصل، تجديد وإحلال، استبعاد، حركة الأصول</t>
  </si>
  <si>
    <t xml:space="preserve">ص 105</t>
  </si>
  <si>
    <t xml:space="preserve">إضافة الأصل الثابت وربطه بدليل الحسابات ومراكز التكلفة</t>
  </si>
  <si>
    <t xml:space="preserve">الإهلاك والتجديد والإحلال والاستبعاد وحركة الأصول</t>
  </si>
  <si>
    <t xml:space="preserve">ص 105–106</t>
  </si>
  <si>
    <t xml:space="preserve">سبعة تقارير منها بيان الإهلاك والأصول المضافة والمستبعدة وجرد الأصول</t>
  </si>
  <si>
    <t xml:space="preserve">ص 106</t>
  </si>
  <si>
    <t xml:space="preserve">تقرير بيان حصر الأصول الثابتة وحصر الأصول إجمالي</t>
  </si>
  <si>
    <t xml:space="preserve">قائمة الوظائف بند 372–373</t>
  </si>
  <si>
    <t xml:space="preserve">ترميز الأصول بالباركود والجرد الميداني</t>
  </si>
  <si>
    <t xml:space="preserve">ورد في العرض الفني ص 29 وغاب هنا؛ وبدونه لا يُجرد أصل متناثر على خمسة مواقع</t>
  </si>
  <si>
    <t xml:space="preserve">ربط الأصل بالموظف الحائز وبالموقع</t>
  </si>
  <si>
    <t xml:space="preserve">تقاطع مباشر مع العهد العينية في الموارد البشرية</t>
  </si>
  <si>
    <t xml:space="preserve">الأصول تحت التنفيذ ورسملة المشاريع</t>
  </si>
  <si>
    <t xml:space="preserve">شركة تبني شبكات تراكم تكاليف قبل تشغيل الأصل</t>
  </si>
  <si>
    <t xml:space="preserve">إعادة التقييم وانخفاض القيمة</t>
  </si>
  <si>
    <t xml:space="preserve">بند محاسبي مطلوب عند تقلّب قيمة العملة</t>
  </si>
  <si>
    <t xml:space="preserve">التأمين على الأصول وتواريخ تجديده</t>
  </si>
  <si>
    <t xml:space="preserve">التأمين مذكور كخدمة تُشترى لا كتغطية تُتابع</t>
  </si>
  <si>
    <t xml:space="preserve">التمييز بين الصيانة الرأسمالية والمصروفة</t>
  </si>
  <si>
    <t xml:space="preserve">«تجديد وإحلال» موجود دون قاعدة تفصل ما يُرسمل عمّا يُصرف</t>
  </si>
  <si>
    <t xml:space="preserve">lc</t>
  </si>
  <si>
    <t xml:space="preserve">فتح الاعتماد محمّلاً من أمر الشراء، ومصاريف الاعتماد</t>
  </si>
  <si>
    <t xml:space="preserve">قائمة الوظائف بند 402–403</t>
  </si>
  <si>
    <t xml:space="preserve">دخول الشحنة وتحميل المصروفات الجمركية، والتسعير</t>
  </si>
  <si>
    <t xml:space="preserve">بند 404–405</t>
  </si>
  <si>
    <t xml:space="preserve">مد وتعلية الاعتماد</t>
  </si>
  <si>
    <t xml:space="preserve">بند 406</t>
  </si>
  <si>
    <t xml:space="preserve">تكليف شركات الشحن والتفتيش</t>
  </si>
  <si>
    <t xml:space="preserve">بند 407</t>
  </si>
  <si>
    <t xml:space="preserve">شاشة استرجاع قيمة التأمين النقدي وتحميل المصاريف كمصروف فترة</t>
  </si>
  <si>
    <t xml:space="preserve">بند 408</t>
  </si>
  <si>
    <t xml:space="preserve">شاشة طلب فتح اعتماد مستندي بمسار اعتماد إلكتروني</t>
  </si>
  <si>
    <t xml:space="preserve">بند 400</t>
  </si>
  <si>
    <t xml:space="preserve">تحميل طلب الفتح في شاشة الفتح مع عمود مركز التكلفة</t>
  </si>
  <si>
    <t xml:space="preserve">بند 401</t>
  </si>
  <si>
    <t xml:space="preserve">ctr</t>
  </si>
  <si>
    <t xml:space="preserve">إدارة العقود كبند ضمن عمليات النظام</t>
  </si>
  <si>
    <t xml:space="preserve">عقد جديد لزبون</t>
  </si>
  <si>
    <t xml:space="preserve">ص 68</t>
  </si>
  <si>
    <t xml:space="preserve">ملحق عقد وترقية خدمة — مدعوم جزئياً</t>
  </si>
  <si>
    <t xml:space="preserve">خدمات إضافية مجانية</t>
  </si>
  <si>
    <t xml:space="preserve">تجديد عقد بدون تغيير</t>
  </si>
  <si>
    <t xml:space="preserve">عدم التجديد وإنهاء الخدمة</t>
  </si>
  <si>
    <t xml:space="preserve">إيقاف خدمة مؤقت</t>
  </si>
  <si>
    <t xml:space="preserve">انقطاعات وتعويض</t>
  </si>
  <si>
    <t xml:space="preserve">مطالبات سداد ديون</t>
  </si>
  <si>
    <t xml:space="preserve">شاشة العقود والملحقات / Contracts &amp; Addendums — تُبنى داخل المبيعات لا المالية</t>
  </si>
  <si>
    <t xml:space="preserve">قائمة الوظائف بند 389</t>
  </si>
  <si>
    <t xml:space="preserve">الفوترة الدورية الآلية للاشتراكات شهرياً أو ربع سنوياً أو سنوياً</t>
  </si>
  <si>
    <t xml:space="preserve">أهم نقص في الوثيقة كلها: نشاط الشركة اشتراكات متكررة</t>
  </si>
  <si>
    <t xml:space="preserve">التناسب الزمني عند الترقية أو الإيقاف في منتصف الدورة</t>
  </si>
  <si>
    <t xml:space="preserve">هذا هو سبب كون ملحق العقد «مدعوماً جزئياً»</t>
  </si>
  <si>
    <t xml:space="preserve">قاعدة حساب التعويض من مدة الانقطاع ومستوى الخدمة</t>
  </si>
  <si>
    <t xml:space="preserve">«انقطاعات (تعويض)» موجودة كعملية دون معادلة تحسب قيمتها</t>
  </si>
  <si>
    <t xml:space="preserve">تنبيهات قرب انتهاء العقد والتجديد التلقائي</t>
  </si>
  <si>
    <t xml:space="preserve">دون تنبيه تضيع التجديدات</t>
  </si>
  <si>
    <t xml:space="preserve">سجل الضمانات والدفعات المقدمة من العملاء</t>
  </si>
  <si>
    <t xml:space="preserve">التحصيل من الضمانات موجود بلا سجل يربطه بالعقد</t>
  </si>
  <si>
    <t xml:space="preserve">إدارة عقود الموردين بنفس الدورة: إيجار المواقع، الصيانة، الخدمات المتكررة</t>
  </si>
  <si>
    <t xml:space="preserve">كلها عقود متكررة تُدار يدوياً اليوم</t>
  </si>
  <si>
    <t xml:space="preserve">ربط العقد بمركز التكلفة وبالإيراد وبالموقع</t>
  </si>
  <si>
    <t xml:space="preserve">لمعرفة ربحية كل عقد وكل موقع</t>
  </si>
  <si>
    <t xml:space="preserve">تعديل الأسعار وسريانه على العقود القائمة من عدمه</t>
  </si>
  <si>
    <t xml:space="preserve">قرار تجاري متكرر ولا قاعدة له في الوثيقة</t>
  </si>
  <si>
    <t xml:space="preserve">Commercial</t>
  </si>
  <si>
    <t xml:space="preserve">sal</t>
  </si>
  <si>
    <t xml:space="preserve">دليل جهات التعامل (العملاء)</t>
  </si>
  <si>
    <t xml:space="preserve">دليل الأصناف — سرعات الإنترنت</t>
  </si>
  <si>
    <t xml:space="preserve">قوائم الأسعار والخصومات والضرائب</t>
  </si>
  <si>
    <t xml:space="preserve">دفاتر العمليات: عروض أسعار، أوامر توريد، فاتورة أولية، فاتورة مبيعات، سند مردودات، إشعارات تسوية</t>
  </si>
  <si>
    <t xml:space="preserve">ص 107</t>
  </si>
  <si>
    <t xml:space="preserve">ربط المبيعات بالمقبوضات والحسابات عبر الأنواع</t>
  </si>
  <si>
    <t xml:space="preserve">عروض الأسعار</t>
  </si>
  <si>
    <t xml:space="preserve">أوامر التوريد: الإصدار والاعتماد الإلكتروني ومتابعة الحالة</t>
  </si>
  <si>
    <t xml:space="preserve">فاتورة المبيعات وتحميلها من أمر التوريد</t>
  </si>
  <si>
    <t xml:space="preserve">مردودات المبيعات وتحميلها من الفاتورة</t>
  </si>
  <si>
    <t xml:space="preserve">ستة تقارير: المبيعات، أوامر التوريد والعروض، تحليل الأداء، حسابات العملاء، المتحصلات، الضرائب</t>
  </si>
  <si>
    <t xml:space="preserve">إصدار فاتورة مبيعات — جزء الفوترة، وهو المُنجَز الوحيد في المبيعات</t>
  </si>
  <si>
    <t xml:space="preserve">قائمة الوظائف بند 384</t>
  </si>
  <si>
    <t xml:space="preserve">قوائم الأسعار المتعددة وربطها بالفئات والقنوات</t>
  </si>
  <si>
    <t xml:space="preserve">بند 378</t>
  </si>
  <si>
    <t xml:space="preserve">شاشة طلبات العملاء الجدد / CRM Requests</t>
  </si>
  <si>
    <t xml:space="preserve">بند 385</t>
  </si>
  <si>
    <t xml:space="preserve">شاشة عروض الأسعار / Quotations</t>
  </si>
  <si>
    <t xml:space="preserve">بند 387</t>
  </si>
  <si>
    <t xml:space="preserve">شاشة أوامر التفعيل / Activation Orders</t>
  </si>
  <si>
    <t xml:space="preserve">بند 388</t>
  </si>
  <si>
    <t xml:space="preserve">شاشة فواتير المبيعات / Sales Invoices ووحدة التقارير</t>
  </si>
  <si>
    <t xml:space="preserve">بند 390–391</t>
  </si>
  <si>
    <t xml:space="preserve">تقارير على سبيل المثال: عدد الطلبات الجديدة، العقود، السعات المفعلة، الإيرادات حسب الفترة، العروض</t>
  </si>
  <si>
    <t xml:space="preserve">بند 395–399</t>
  </si>
  <si>
    <t xml:space="preserve">حد الائتمان ومراقبته قبل إصدار الفاتورة</t>
  </si>
  <si>
    <t xml:space="preserve">ورد في العرض الفني ص 34 وغاب عن المخطط؛ وهو الضابط الوحيد ضد تضخّم الديون</t>
  </si>
  <si>
    <t xml:space="preserve">عمولات مندوبي المبيعات وقاعدة احتسابها</t>
  </si>
  <si>
    <t xml:space="preserve">دليل المندوبين موجود في المشتريات ولا احتساب عمولة في المبيعات</t>
  </si>
  <si>
    <t xml:space="preserve">تحليل الإيراد لكل خدمة ولكل موقع ولكل شريحة</t>
  </si>
  <si>
    <t xml:space="preserve">تقارير المبيعات الستة إجمالية ولا تجيب أين يُربح وأين يُخسر</t>
  </si>
  <si>
    <t xml:space="preserve">النشاط التسويقي والحملات</t>
  </si>
  <si>
    <t xml:space="preserve">قسم التسويق في الهيكل بلا أثر في النطاق</t>
  </si>
  <si>
    <t xml:space="preserve">sub</t>
  </si>
  <si>
    <t xml:space="preserve">شاشة طلبات الخدمة للعملاء الحاليين / Service Requests</t>
  </si>
  <si>
    <t xml:space="preserve">قائمة الوظائف بند 386</t>
  </si>
  <si>
    <t xml:space="preserve">تذاكر الشكاوى الفنية للمشتركين وزمن المعالجة</t>
  </si>
  <si>
    <t xml:space="preserve">مركز الاتصال في الهيكل، والانقطاعات تولّد تعويضات تحتاج توثيقاً</t>
  </si>
  <si>
    <t xml:space="preserve">معدل فقد المشتركين وأسبابه</t>
  </si>
  <si>
    <t xml:space="preserve">«عدم التجديد» عملية مسجلة دون قياس تراكمي ينبّه الإدارة</t>
  </si>
  <si>
    <t xml:space="preserve">Setup, Infrastructure &amp; Requirements</t>
  </si>
  <si>
    <t xml:space="preserve">srv</t>
  </si>
  <si>
    <t xml:space="preserve">مواصفة الخادم: Intel Xeon E-2224G والذاكرة وأقراص التخزين</t>
  </si>
  <si>
    <t xml:space="preserve">عرض فني ص 91</t>
  </si>
  <si>
    <t xml:space="preserve">الاستضافة المحلية داخل مقر الشركة</t>
  </si>
  <si>
    <t xml:space="preserve">تناقض مواصفة الذاكرة بين DDR5 وما تدعمه اللوحة — يلزم حسمه كتابةً</t>
  </si>
  <si>
    <t xml:space="preserve">تثبيت تطبيق Double Click ERP في بيئة الإنتاج</t>
  </si>
  <si>
    <t xml:space="preserve">قائمة الوظائف بند 415</t>
  </si>
  <si>
    <t xml:space="preserve">تسمية المسؤول عن توريد العتاد وتاريخ تسليمه</t>
  </si>
  <si>
    <t xml:space="preserve">مصفوفة المسؤوليات لا تسمّي مورّد العتاد أصلاً</t>
  </si>
  <si>
    <t xml:space="preserve">طاقة الخادم مقابل 31 مستخدماً متزامناً مع هامش نمو</t>
  </si>
  <si>
    <t xml:space="preserve">العدد في العرض هو الحالي لا المستقبلي</t>
  </si>
  <si>
    <t xml:space="preserve">تغذية غير منقطعة ومولّد وتكييف غرفة الخادم</t>
  </si>
  <si>
    <t xml:space="preserve">الانقطاع الكهربائي خطر تشغيلي أول</t>
  </si>
  <si>
    <t xml:space="preserve">عقد صيانة العتاد وقطع الغيار بعد انتهاء الضمان</t>
  </si>
  <si>
    <t xml:space="preserve">الخادم المعطّل يوقف المنظومة كلها</t>
  </si>
  <si>
    <t xml:space="preserve">dbs</t>
  </si>
  <si>
    <t xml:space="preserve">SQL Server 2012 كما ورد في العرض</t>
  </si>
  <si>
    <t xml:space="preserve">عرض فني ص 16</t>
  </si>
  <si>
    <t xml:space="preserve">عدد المستخدمين المرخّص لهم: 31 مستخدماً</t>
  </si>
  <si>
    <t xml:space="preserve">العرض الفني</t>
  </si>
  <si>
    <t xml:space="preserve">تركيب وتهيئة SQL Server في بيئة الإنتاج</t>
  </si>
  <si>
    <t xml:space="preserve">قائمة الوظائف بند 414</t>
  </si>
  <si>
    <t xml:space="preserve">ترقية إصدار قاعدة البيانات إلى إصدار مدعوم</t>
  </si>
  <si>
    <t xml:space="preserve">إصدار 2012 انتهى دعمه، وهذا خطر أمني وتعاقدي</t>
  </si>
  <si>
    <t xml:space="preserve">ملكية الترخيص: باسم الشركة أم باسم المورّد</t>
  </si>
  <si>
    <t xml:space="preserve">يحدد ما يبقى للشركة عند انتهاء العلاقة</t>
  </si>
  <si>
    <t xml:space="preserve">سياسة زيادة المستخدمين وسعر المستخدم الإضافي</t>
  </si>
  <si>
    <t xml:space="preserve">الشركة تنمو ولا سعر معلن في العرض</t>
  </si>
  <si>
    <t xml:space="preserve">ترخيص نظام التشغيل وقاعدة البيانات لبيئتي الاختبار والتدريب</t>
  </si>
  <si>
    <t xml:space="preserve">يُنسى عادةً حتى موعد التركيب</t>
  </si>
  <si>
    <t xml:space="preserve">تسليم بيانات حساب مدير قاعدة البيانات للشركة</t>
  </si>
  <si>
    <t xml:space="preserve">دونها لا تملك الشركة منظومتها فعلياً</t>
  </si>
  <si>
    <t xml:space="preserve">net</t>
  </si>
  <si>
    <t xml:space="preserve">المقر الرئيسي وأربعة فروع ضمن النطاق</t>
  </si>
  <si>
    <t xml:space="preserve">مخطط ص 83</t>
  </si>
  <si>
    <t xml:space="preserve">إنشاء وحدة تنظيمية (OU) وحسابات مستخدمين على الدومين</t>
  </si>
  <si>
    <t xml:space="preserve">قائمة الوظائف بند 416</t>
  </si>
  <si>
    <t xml:space="preserve">توفير صلاحية VPN لفريق الدعم التقني</t>
  </si>
  <si>
    <t xml:space="preserve">بند 417</t>
  </si>
  <si>
    <t xml:space="preserve">سعة الربط بين المقر والفروع وزمن الاستجابة المقبول</t>
  </si>
  <si>
    <t xml:space="preserve">الفروع تعمل على نفس قاعدة البيانات</t>
  </si>
  <si>
    <t xml:space="preserve">خطة بديلة عند انقطاع الربط بفرع</t>
  </si>
  <si>
    <t xml:space="preserve">انقطاع الخط يوقف الفرع بالكامل</t>
  </si>
  <si>
    <t xml:space="preserve">شهادة تشفير ووصول آمن من خارج الشبكة</t>
  </si>
  <si>
    <t xml:space="preserve">تطبيق الهاتف يعني وصولاً من الإنترنت</t>
  </si>
  <si>
    <t xml:space="preserve">تجزئة الشبكة وعزل خادم المنظومة</t>
  </si>
  <si>
    <t xml:space="preserve">حماية أساسية غير مذكورة</t>
  </si>
  <si>
    <t xml:space="preserve">عناوين ثابتة وجدار ناري وقواعد المنافذ</t>
  </si>
  <si>
    <t xml:space="preserve">متطلب تركيب لا يرد في العرض</t>
  </si>
  <si>
    <t xml:space="preserve">env</t>
  </si>
  <si>
    <t xml:space="preserve">إعداد بيئة الاختبار والتشغيل التجريبي</t>
  </si>
  <si>
    <t xml:space="preserve">قائمة الوظائف بند 419</t>
  </si>
  <si>
    <t xml:space="preserve">نشر منصة SharePoint لأرشفة وثائق المشروع</t>
  </si>
  <si>
    <t xml:space="preserve">بند 418</t>
  </si>
  <si>
    <t xml:space="preserve">سياسة نقل التعديلات بين البيئات واعتمادها</t>
  </si>
  <si>
    <t xml:space="preserve">دونها تصل تعديلات غير مختبرة إلى الإنتاج</t>
  </si>
  <si>
    <t xml:space="preserve">ضبط الإصدارات وسجل التغييرات على النظام</t>
  </si>
  <si>
    <t xml:space="preserve">لمعرفة ما تغيّر ومتى ومن اعتمده</t>
  </si>
  <si>
    <t xml:space="preserve">بيئة تدريب ببيانات وهمية</t>
  </si>
  <si>
    <t xml:space="preserve">التدريب على بيانات الإنتاج خطر</t>
  </si>
  <si>
    <t xml:space="preserve">خطة النشر والعودة للخلف عند الفشل</t>
  </si>
  <si>
    <t xml:space="preserve">إجراء إلزامي ليوم الإطلاق</t>
  </si>
  <si>
    <t xml:space="preserve">bkp</t>
  </si>
  <si>
    <t xml:space="preserve">التوفر العالي (HA) والنسخ الاحتياطي وخطط الاستعادة</t>
  </si>
  <si>
    <t xml:space="preserve">قائمة الوظائف بند 420</t>
  </si>
  <si>
    <t xml:space="preserve">نسخة محفوظة خارج الموقع</t>
  </si>
  <si>
    <t xml:space="preserve">النسخة بجوار الخادم لا تحمي من حريق أو سرقة</t>
  </si>
  <si>
    <t xml:space="preserve">اختبار استرجاع فعلي مجدول</t>
  </si>
  <si>
    <t xml:space="preserve">نسخة لم تُختبر ليست نسخة</t>
  </si>
  <si>
    <t xml:space="preserve">هدف زمن التعافي RTO وهدف نقطة التعافي RPO</t>
  </si>
  <si>
    <t xml:space="preserve">يحددان كم تتحمل الشركة من توقف ومن فقد</t>
  </si>
  <si>
    <t xml:space="preserve">من ينفّذ النسخ ومن يراقبها بعد التسليم</t>
  </si>
  <si>
    <t xml:space="preserve">يجب أن يُسمّى في مصفوفة المسؤوليات</t>
  </si>
  <si>
    <t xml:space="preserve">sec</t>
  </si>
  <si>
    <t xml:space="preserve">الصلاحيات بثلاثة مستويات ومسارات الاعتماد</t>
  </si>
  <si>
    <t xml:space="preserve">مخطط ص 94</t>
  </si>
  <si>
    <t xml:space="preserve">مصفوفة المسؤوليات RACI بـ32 بنداً</t>
  </si>
  <si>
    <t xml:space="preserve">عرض فني ص 95–96</t>
  </si>
  <si>
    <t xml:space="preserve">صلاحيات على البيانات وعلى الشاشات</t>
  </si>
  <si>
    <t xml:space="preserve">قائمة الوظائف بند 409–410</t>
  </si>
  <si>
    <t xml:space="preserve">إعدادات الإشعارات</t>
  </si>
  <si>
    <t xml:space="preserve">بند 413</t>
  </si>
  <si>
    <t xml:space="preserve">إضافة نوع مستخدم جديد يُمنح صلاحيات تلقائياً</t>
  </si>
  <si>
    <t xml:space="preserve">بند 411</t>
  </si>
  <si>
    <t xml:space="preserve">استعراض تسلسل العمليات على مستند معين (Audit Trail)</t>
  </si>
  <si>
    <t xml:space="preserve">بند 412</t>
  </si>
  <si>
    <t xml:space="preserve">نقل اعتماد UAT و FAC من المورّد إلى الشركة</t>
  </si>
  <si>
    <t xml:space="preserve">البندان 25 و31 يجعلان المورّد يعتمد عمل نفسه</t>
  </si>
  <si>
    <t xml:space="preserve">سياسة كلمات المرور والتحقق المزدوج للحسابات الإدارية</t>
  </si>
  <si>
    <t xml:space="preserve">غير مذكورة في العرض</t>
  </si>
  <si>
    <t xml:space="preserve">إيداع الكود المصدري أو ضمان الاستمرارية</t>
  </si>
  <si>
    <t xml:space="preserve">المنتج مملوك لطرف ثالث خارج ليبيا</t>
  </si>
  <si>
    <t xml:space="preserve">اتفاقية سرية وحماية بيانات الموظفين والمشتركين</t>
  </si>
  <si>
    <t xml:space="preserve">بيانات شخصية تُسلَّم لطرف خارجي</t>
  </si>
  <si>
    <t xml:space="preserve">mig</t>
  </si>
  <si>
    <t xml:space="preserve">الوضع الحالي: إكسيل للموارد البشرية والمرتبات واسكادينيا للمحاسبة</t>
  </si>
  <si>
    <t xml:space="preserve">مخطط ص 6</t>
  </si>
  <si>
    <t xml:space="preserve">البيانات الأساسية المطلوبة لكل نظام</t>
  </si>
  <si>
    <t xml:space="preserve">مخطط ص 92–107</t>
  </si>
  <si>
    <t xml:space="preserve">استيراد بيانات الموظفين وأرصدة العهد من Excel في بداية التشغيل</t>
  </si>
  <si>
    <t xml:space="preserve">قائمة الوظائف بند 9 و215</t>
  </si>
  <si>
    <t xml:space="preserve">جرد مصادر البيانات وحجمها وجودتها قبل البدء</t>
  </si>
  <si>
    <t xml:space="preserve">أكبر سبب لتأخر مشاريع تخطيط الموارد</t>
  </si>
  <si>
    <t xml:space="preserve">قوالب ترحيل معتمدة لكل نظام وتجربة ترحيل أولى</t>
  </si>
  <si>
    <t xml:space="preserve">الترحيل دفعةً واحدة يفشل عادةً</t>
  </si>
  <si>
    <t xml:space="preserve">تنظيف البيانات وإزالة التكرار وتوحيد الترميز</t>
  </si>
  <si>
    <t xml:space="preserve">ملفات إكسيل بلا سياسة ترقيم تنتج تكراراً</t>
  </si>
  <si>
    <t xml:space="preserve">مطابقة الأرصدة الافتتاحية مع ميزان مراجعة اسكادينيا بفارق صفر</t>
  </si>
  <si>
    <t xml:space="preserve">شرط قبول الترحيل المالي</t>
  </si>
  <si>
    <t xml:space="preserve">اعتماد موقّع على نتيجة الترحيل من مالك كل نظام</t>
  </si>
  <si>
    <t xml:space="preserve">دونه تبقى المسؤولية معلّقة</t>
  </si>
  <si>
    <t xml:space="preserve">قرار التاريخ الفاصل وما يُرحّل من تاريخ سابق</t>
  </si>
  <si>
    <t xml:space="preserve">يحدد حجم العمل كله</t>
  </si>
  <si>
    <t xml:space="preserve">خطة التشغيل المتوازي مع النظام القديم ومدتها</t>
  </si>
  <si>
    <t xml:space="preserve">حماية من فقد البيانات يوم الإطلاق</t>
  </si>
  <si>
    <t xml:space="preserve">trg</t>
  </si>
  <si>
    <t xml:space="preserve">47 متدرباً و15 ساعة تدريب</t>
  </si>
  <si>
    <t xml:space="preserve">عرض فني ص 102</t>
  </si>
  <si>
    <t xml:space="preserve">نافذة التدريب من 10:00 إلى 15:00 بواقع 3 ساعات يومياً</t>
  </si>
  <si>
    <t xml:space="preserve">جدول تدريب معتمد يحسم التناقض بين الساعات وعدد المتدربين</t>
  </si>
  <si>
    <t xml:space="preserve">47 متدرباً في 15 ساعة جماعية لا تنتج إتقاناً</t>
  </si>
  <si>
    <t xml:space="preserve">مستخدم خبير لكل نظام ينقل المعرفة داخلياً</t>
  </si>
  <si>
    <t xml:space="preserve">لتقليل الاعتماد الدائم على الدعم الخارجي</t>
  </si>
  <si>
    <t xml:space="preserve">أدلة استخدام عربية لكل نظام</t>
  </si>
  <si>
    <t xml:space="preserve">العرض لا يذكر أي مخرج تدريبي مكتوب</t>
  </si>
  <si>
    <t xml:space="preserve">بيانات التواصل مع الدعم الفني</t>
  </si>
  <si>
    <t xml:space="preserve">جدول الدعم في العرض الفني ص 97 فارغ بالكامل</t>
  </si>
  <si>
    <t xml:space="preserve">اتفاقية مستوى خدمة بأزمنة استجابة محددة</t>
  </si>
  <si>
    <t xml:space="preserve">العرض الفني ص 98 يقول «لا يمكن تحديدها»</t>
  </si>
  <si>
    <t xml:space="preserve">تدريب تنشيطي بعد الإطلاق بشهرين</t>
  </si>
  <si>
    <t xml:space="preserve">الفجوات تظهر بعد الاستخدام الفعلي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</si>
</sst>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4" min="3" style="0" width="30"/>
    <col collapsed="false" customWidth="true" hidden="false" outlineLevel="0" max="8" min="5" style="0" width="11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/>
      <c r="E5" s="5" t="n">
        <f aca="false">COUNTIFS('قائمة الوظائف'!$D$5:$D$517,$B5)</f>
        <v>40</v>
      </c>
      <c r="F5" s="5" t="n">
        <f aca="false">COUNTIFS('قائمة الوظائف'!$D$5:$D$517,$B5,'قائمة الوظائف'!$J$5:$J$517,"المخطط التفصيلي")</f>
        <v>20</v>
      </c>
      <c r="G5" s="5" t="n">
        <f aca="false">COUNTIFS('قائمة الوظائف'!$D$5:$D$517,$B5,'قائمة الوظائف'!$J$5:$J$517,"قائمة وظائف المورّد")</f>
        <v>13</v>
      </c>
      <c r="H5" s="5" t="n">
        <f aca="false">COUNTIFS('قائمة الوظائف'!$D$5:$D$517,$B5,'قائمة الوظائف'!$J$5:$J$517,"من واقع الخبرة")</f>
        <v>7</v>
      </c>
      <c r="I5" s="5" t="n">
        <f aca="false">COUNTIFS('قائمة الوظائف'!$D$5:$D$517,$B5,'قائمة الوظائف'!$M$5:$M$517,"نعم")</f>
        <v>33</v>
      </c>
      <c r="J5" s="5" t="n">
        <f aca="false">COUNTIFS('قائمة الوظائف'!$D$5:$D$517,$B5,'قائمة الوظائف'!$L$5:$L$517,"يعمل تشغيلياً")</f>
        <v>10</v>
      </c>
    </row>
    <row r="6" customFormat="false" ht="15" hidden="false" customHeight="false" outlineLevel="0" collapsed="false">
      <c r="A6" s="4" t="s">
        <v>12</v>
      </c>
      <c r="B6" s="4" t="s">
        <v>15</v>
      </c>
      <c r="C6" s="4" t="s">
        <v>16</v>
      </c>
      <c r="D6" s="4" t="s">
        <v>17</v>
      </c>
      <c r="E6" s="5" t="n">
        <f aca="false">COUNTIFS('قائمة الوظائف'!$D$5:$D$517,$B6)</f>
        <v>15</v>
      </c>
      <c r="F6" s="5" t="n">
        <f aca="false">COUNTIFS('قائمة الوظائف'!$D$5:$D$517,$B6,'قائمة الوظائف'!$J$5:$J$517,"المخطط التفصيلي")</f>
        <v>13</v>
      </c>
      <c r="G6" s="5" t="n">
        <f aca="false">COUNTIFS('قائمة الوظائف'!$D$5:$D$517,$B6,'قائمة الوظائف'!$J$5:$J$517,"قائمة وظائف المورّد")</f>
        <v>1</v>
      </c>
      <c r="H6" s="5" t="n">
        <f aca="false">COUNTIFS('قائمة الوظائف'!$D$5:$D$517,$B6,'قائمة الوظائف'!$J$5:$J$517,"من واقع الخبرة")</f>
        <v>1</v>
      </c>
      <c r="I6" s="5" t="n">
        <f aca="false">COUNTIFS('قائمة الوظائف'!$D$5:$D$517,$B6,'قائمة الوظائف'!$M$5:$M$517,"نعم")</f>
        <v>14</v>
      </c>
      <c r="J6" s="5" t="n">
        <f aca="false">COUNTIFS('قائمة الوظائف'!$D$5:$D$517,$B6,'قائمة الوظائف'!$L$5:$L$517,"يعمل تشغيلياً")</f>
        <v>1</v>
      </c>
    </row>
    <row r="7" customFormat="false" ht="15" hidden="false" customHeight="false" outlineLevel="0" collapsed="false">
      <c r="A7" s="4" t="s">
        <v>12</v>
      </c>
      <c r="B7" s="4" t="s">
        <v>18</v>
      </c>
      <c r="C7" s="4" t="s">
        <v>19</v>
      </c>
      <c r="D7" s="4"/>
      <c r="E7" s="5" t="n">
        <f aca="false">COUNTIFS('قائمة الوظائف'!$D$5:$D$517,$B7)</f>
        <v>33</v>
      </c>
      <c r="F7" s="5" t="n">
        <f aca="false">COUNTIFS('قائمة الوظائف'!$D$5:$D$517,$B7,'قائمة الوظائف'!$J$5:$J$517,"المخطط التفصيلي")</f>
        <v>13</v>
      </c>
      <c r="G7" s="5" t="n">
        <f aca="false">COUNTIFS('قائمة الوظائف'!$D$5:$D$517,$B7,'قائمة الوظائف'!$J$5:$J$517,"قائمة وظائف المورّد")</f>
        <v>18</v>
      </c>
      <c r="H7" s="5" t="n">
        <f aca="false">COUNTIFS('قائمة الوظائف'!$D$5:$D$517,$B7,'قائمة الوظائف'!$J$5:$J$517,"من واقع الخبرة")</f>
        <v>2</v>
      </c>
      <c r="I7" s="5" t="n">
        <f aca="false">COUNTIFS('قائمة الوظائف'!$D$5:$D$517,$B7,'قائمة الوظائف'!$M$5:$M$517,"نعم")</f>
        <v>31</v>
      </c>
      <c r="J7" s="5" t="n">
        <f aca="false">COUNTIFS('قائمة الوظائف'!$D$5:$D$517,$B7,'قائمة الوظائف'!$L$5:$L$517,"يعمل تشغيلياً")</f>
        <v>17</v>
      </c>
    </row>
    <row r="8" customFormat="false" ht="15" hidden="false" customHeight="false" outlineLevel="0" collapsed="false">
      <c r="A8" s="4" t="s">
        <v>12</v>
      </c>
      <c r="B8" s="4" t="s">
        <v>20</v>
      </c>
      <c r="C8" s="4" t="s">
        <v>21</v>
      </c>
      <c r="D8" s="4"/>
      <c r="E8" s="5" t="n">
        <f aca="false">COUNTIFS('قائمة الوظائف'!$D$5:$D$517,$B8)</f>
        <v>15</v>
      </c>
      <c r="F8" s="5" t="n">
        <f aca="false">COUNTIFS('قائمة الوظائف'!$D$5:$D$517,$B8,'قائمة الوظائف'!$J$5:$J$517,"المخطط التفصيلي")</f>
        <v>5</v>
      </c>
      <c r="G8" s="5" t="n">
        <f aca="false">COUNTIFS('قائمة الوظائف'!$D$5:$D$517,$B8,'قائمة الوظائف'!$J$5:$J$517,"قائمة وظائف المورّد")</f>
        <v>7</v>
      </c>
      <c r="H8" s="5" t="n">
        <f aca="false">COUNTIFS('قائمة الوظائف'!$D$5:$D$517,$B8,'قائمة الوظائف'!$J$5:$J$517,"من واقع الخبرة")</f>
        <v>3</v>
      </c>
      <c r="I8" s="5" t="n">
        <f aca="false">COUNTIFS('قائمة الوظائف'!$D$5:$D$517,$B8,'قائمة الوظائف'!$M$5:$M$517,"نعم")</f>
        <v>12</v>
      </c>
      <c r="J8" s="5" t="n">
        <f aca="false">COUNTIFS('قائمة الوظائف'!$D$5:$D$517,$B8,'قائمة الوظائف'!$L$5:$L$517,"يعمل تشغيلياً")</f>
        <v>7</v>
      </c>
    </row>
    <row r="9" customFormat="false" ht="15" hidden="false" customHeight="false" outlineLevel="0" collapsed="false">
      <c r="A9" s="4" t="s">
        <v>12</v>
      </c>
      <c r="B9" s="4" t="s">
        <v>22</v>
      </c>
      <c r="C9" s="4" t="s">
        <v>23</v>
      </c>
      <c r="D9" s="4"/>
      <c r="E9" s="5" t="n">
        <f aca="false">COUNTIFS('قائمة الوظائف'!$D$5:$D$517,$B9)</f>
        <v>32</v>
      </c>
      <c r="F9" s="5" t="n">
        <f aca="false">COUNTIFS('قائمة الوظائف'!$D$5:$D$517,$B9,'قائمة الوظائف'!$J$5:$J$517,"المخطط التفصيلي")</f>
        <v>14</v>
      </c>
      <c r="G9" s="5" t="n">
        <f aca="false">COUNTIFS('قائمة الوظائف'!$D$5:$D$517,$B9,'قائمة الوظائف'!$J$5:$J$517,"قائمة وظائف المورّد")</f>
        <v>11</v>
      </c>
      <c r="H9" s="5" t="n">
        <f aca="false">COUNTIFS('قائمة الوظائف'!$D$5:$D$517,$B9,'قائمة الوظائف'!$J$5:$J$517,"من واقع الخبرة")</f>
        <v>7</v>
      </c>
      <c r="I9" s="5" t="n">
        <f aca="false">COUNTIFS('قائمة الوظائف'!$D$5:$D$517,$B9,'قائمة الوظائف'!$M$5:$M$517,"نعم")</f>
        <v>25</v>
      </c>
      <c r="J9" s="5" t="n">
        <f aca="false">COUNTIFS('قائمة الوظائف'!$D$5:$D$517,$B9,'قائمة الوظائف'!$L$5:$L$517,"يعمل تشغيلياً")</f>
        <v>8</v>
      </c>
    </row>
    <row r="10" customFormat="false" ht="15" hidden="false" customHeight="false" outlineLevel="0" collapsed="false">
      <c r="A10" s="4" t="s">
        <v>12</v>
      </c>
      <c r="B10" s="4" t="s">
        <v>24</v>
      </c>
      <c r="C10" s="4" t="s">
        <v>25</v>
      </c>
      <c r="D10" s="4" t="s">
        <v>26</v>
      </c>
      <c r="E10" s="5" t="n">
        <f aca="false">COUNTIFS('قائمة الوظائف'!$D$5:$D$517,$B10)</f>
        <v>14</v>
      </c>
      <c r="F10" s="5" t="n">
        <f aca="false">COUNTIFS('قائمة الوظائف'!$D$5:$D$517,$B10,'قائمة الوظائف'!$J$5:$J$517,"المخطط التفصيلي")</f>
        <v>8</v>
      </c>
      <c r="G10" s="5" t="n">
        <f aca="false">COUNTIFS('قائمة الوظائف'!$D$5:$D$517,$B10,'قائمة الوظائف'!$J$5:$J$517,"قائمة وظائف المورّد")</f>
        <v>2</v>
      </c>
      <c r="H10" s="5" t="n">
        <f aca="false">COUNTIFS('قائمة الوظائف'!$D$5:$D$517,$B10,'قائمة الوظائف'!$J$5:$J$517,"من واقع الخبرة")</f>
        <v>4</v>
      </c>
      <c r="I10" s="5" t="n">
        <f aca="false">COUNTIFS('قائمة الوظائف'!$D$5:$D$517,$B10,'قائمة الوظائف'!$M$5:$M$517,"نعم")</f>
        <v>10</v>
      </c>
      <c r="J10" s="5" t="n">
        <f aca="false">COUNTIFS('قائمة الوظائف'!$D$5:$D$517,$B10,'قائمة الوظائف'!$L$5:$L$517,"يعمل تشغيلياً")</f>
        <v>1</v>
      </c>
    </row>
    <row r="11" customFormat="false" ht="15" hidden="false" customHeight="false" outlineLevel="0" collapsed="false">
      <c r="A11" s="4" t="s">
        <v>12</v>
      </c>
      <c r="B11" s="4" t="s">
        <v>27</v>
      </c>
      <c r="C11" s="4" t="s">
        <v>28</v>
      </c>
      <c r="D11" s="4" t="s">
        <v>29</v>
      </c>
      <c r="E11" s="5" t="n">
        <f aca="false">COUNTIFS('قائمة الوظائف'!$D$5:$D$517,$B11)</f>
        <v>11</v>
      </c>
      <c r="F11" s="5" t="n">
        <f aca="false">COUNTIFS('قائمة الوظائف'!$D$5:$D$517,$B11,'قائمة الوظائف'!$J$5:$J$517,"المخطط التفصيلي")</f>
        <v>0</v>
      </c>
      <c r="G11" s="5" t="n">
        <f aca="false">COUNTIFS('قائمة الوظائف'!$D$5:$D$517,$B11,'قائمة الوظائف'!$J$5:$J$517,"قائمة وظائف المورّد")</f>
        <v>11</v>
      </c>
      <c r="H11" s="5" t="n">
        <f aca="false">COUNTIFS('قائمة الوظائف'!$D$5:$D$517,$B11,'قائمة الوظائف'!$J$5:$J$517,"من واقع الخبرة")</f>
        <v>0</v>
      </c>
      <c r="I11" s="5" t="n">
        <f aca="false">COUNTIFS('قائمة الوظائف'!$D$5:$D$517,$B11,'قائمة الوظائف'!$M$5:$M$517,"نعم")</f>
        <v>11</v>
      </c>
      <c r="J11" s="5" t="n">
        <f aca="false">COUNTIFS('قائمة الوظائف'!$D$5:$D$517,$B11,'قائمة الوظائف'!$L$5:$L$517,"يعمل تشغيلياً")</f>
        <v>11</v>
      </c>
    </row>
    <row r="12" customFormat="false" ht="23.85" hidden="false" customHeight="false" outlineLevel="0" collapsed="false">
      <c r="A12" s="4" t="s">
        <v>12</v>
      </c>
      <c r="B12" s="4" t="s">
        <v>30</v>
      </c>
      <c r="C12" s="4" t="s">
        <v>31</v>
      </c>
      <c r="D12" s="4" t="s">
        <v>29</v>
      </c>
      <c r="E12" s="5" t="n">
        <f aca="false">COUNTIFS('قائمة الوظائف'!$D$5:$D$517,$B12)</f>
        <v>7</v>
      </c>
      <c r="F12" s="5" t="n">
        <f aca="false">COUNTIFS('قائمة الوظائف'!$D$5:$D$517,$B12,'قائمة الوظائف'!$J$5:$J$517,"المخطط التفصيلي")</f>
        <v>0</v>
      </c>
      <c r="G12" s="5" t="n">
        <f aca="false">COUNTIFS('قائمة الوظائف'!$D$5:$D$517,$B12,'قائمة الوظائف'!$J$5:$J$517,"قائمة وظائف المورّد")</f>
        <v>7</v>
      </c>
      <c r="H12" s="5" t="n">
        <f aca="false">COUNTIFS('قائمة الوظائف'!$D$5:$D$517,$B12,'قائمة الوظائف'!$J$5:$J$517,"من واقع الخبرة")</f>
        <v>0</v>
      </c>
      <c r="I12" s="5" t="n">
        <f aca="false">COUNTIFS('قائمة الوظائف'!$D$5:$D$517,$B12,'قائمة الوظائف'!$M$5:$M$517,"نعم")</f>
        <v>7</v>
      </c>
      <c r="J12" s="5" t="n">
        <f aca="false">COUNTIFS('قائمة الوظائف'!$D$5:$D$517,$B12,'قائمة الوظائف'!$L$5:$L$517,"يعمل تشغيلياً")</f>
        <v>7</v>
      </c>
    </row>
    <row r="13" customFormat="false" ht="15" hidden="false" customHeight="false" outlineLevel="0" collapsed="false">
      <c r="A13" s="4" t="s">
        <v>12</v>
      </c>
      <c r="B13" s="4" t="s">
        <v>32</v>
      </c>
      <c r="C13" s="4" t="s">
        <v>33</v>
      </c>
      <c r="D13" s="4"/>
      <c r="E13" s="5" t="n">
        <f aca="false">COUNTIFS('قائمة الوظائف'!$D$5:$D$517,$B13)</f>
        <v>30</v>
      </c>
      <c r="F13" s="5" t="n">
        <f aca="false">COUNTIFS('قائمة الوظائف'!$D$5:$D$517,$B13,'قائمة الوظائف'!$J$5:$J$517,"المخطط التفصيلي")</f>
        <v>15</v>
      </c>
      <c r="G13" s="5" t="n">
        <f aca="false">COUNTIFS('قائمة الوظائف'!$D$5:$D$517,$B13,'قائمة الوظائف'!$J$5:$J$517,"قائمة وظائف المورّد")</f>
        <v>6</v>
      </c>
      <c r="H13" s="5" t="n">
        <f aca="false">COUNTIFS('قائمة الوظائف'!$D$5:$D$517,$B13,'قائمة الوظائف'!$J$5:$J$517,"من واقع الخبرة")</f>
        <v>9</v>
      </c>
      <c r="I13" s="5" t="n">
        <f aca="false">COUNTIFS('قائمة الوظائف'!$D$5:$D$517,$B13,'قائمة الوظائف'!$M$5:$M$517,"نعم")</f>
        <v>21</v>
      </c>
      <c r="J13" s="5" t="n">
        <f aca="false">COUNTIFS('قائمة الوظائف'!$D$5:$D$517,$B13,'قائمة الوظائف'!$L$5:$L$517,"يعمل تشغيلياً")</f>
        <v>1</v>
      </c>
    </row>
    <row r="14" customFormat="false" ht="15" hidden="false" customHeight="false" outlineLevel="0" collapsed="false">
      <c r="A14" s="4" t="s">
        <v>12</v>
      </c>
      <c r="B14" s="4" t="s">
        <v>34</v>
      </c>
      <c r="C14" s="4" t="s">
        <v>35</v>
      </c>
      <c r="D14" s="4"/>
      <c r="E14" s="5" t="n">
        <f aca="false">COUNTIFS('قائمة الوظائف'!$D$5:$D$517,$B14)</f>
        <v>29</v>
      </c>
      <c r="F14" s="5" t="n">
        <f aca="false">COUNTIFS('قائمة الوظائف'!$D$5:$D$517,$B14,'قائمة الوظائف'!$J$5:$J$517,"المخطط التفصيلي")</f>
        <v>15</v>
      </c>
      <c r="G14" s="5" t="n">
        <f aca="false">COUNTIFS('قائمة الوظائف'!$D$5:$D$517,$B14,'قائمة الوظائف'!$J$5:$J$517,"قائمة وظائف المورّد")</f>
        <v>7</v>
      </c>
      <c r="H14" s="5" t="n">
        <f aca="false">COUNTIFS('قائمة الوظائف'!$D$5:$D$517,$B14,'قائمة الوظائف'!$J$5:$J$517,"من واقع الخبرة")</f>
        <v>7</v>
      </c>
      <c r="I14" s="5" t="n">
        <f aca="false">COUNTIFS('قائمة الوظائف'!$D$5:$D$517,$B14,'قائمة الوظائف'!$M$5:$M$517,"نعم")</f>
        <v>22</v>
      </c>
      <c r="J14" s="5" t="n">
        <f aca="false">COUNTIFS('قائمة الوظائف'!$D$5:$D$517,$B14,'قائمة الوظائف'!$L$5:$L$517,"يعمل تشغيلياً")</f>
        <v>6</v>
      </c>
    </row>
    <row r="15" customFormat="false" ht="15" hidden="false" customHeight="false" outlineLevel="0" collapsed="false">
      <c r="A15" s="4" t="s">
        <v>12</v>
      </c>
      <c r="B15" s="4" t="s">
        <v>36</v>
      </c>
      <c r="C15" s="4" t="s">
        <v>37</v>
      </c>
      <c r="D15" s="4" t="s">
        <v>38</v>
      </c>
      <c r="E15" s="5" t="n">
        <f aca="false">COUNTIFS('قائمة الوظائف'!$D$5:$D$517,$B15)</f>
        <v>31</v>
      </c>
      <c r="F15" s="5" t="n">
        <f aca="false">COUNTIFS('قائمة الوظائف'!$D$5:$D$517,$B15,'قائمة الوظائف'!$J$5:$J$517,"المخطط التفصيلي")</f>
        <v>21</v>
      </c>
      <c r="G15" s="5" t="n">
        <f aca="false">COUNTIFS('قائمة الوظائف'!$D$5:$D$517,$B15,'قائمة الوظائف'!$J$5:$J$517,"قائمة وظائف المورّد")</f>
        <v>0</v>
      </c>
      <c r="H15" s="5" t="n">
        <f aca="false">COUNTIFS('قائمة الوظائف'!$D$5:$D$517,$B15,'قائمة الوظائف'!$J$5:$J$517,"من واقع الخبرة")</f>
        <v>10</v>
      </c>
      <c r="I15" s="5" t="n">
        <f aca="false">COUNTIFS('قائمة الوظائف'!$D$5:$D$517,$B15,'قائمة الوظائف'!$M$5:$M$517,"نعم")</f>
        <v>21</v>
      </c>
      <c r="J15" s="5" t="n">
        <f aca="false">COUNTIFS('قائمة الوظائف'!$D$5:$D$517,$B15,'قائمة الوظائف'!$L$5:$L$517,"يعمل تشغيلياً")</f>
        <v>0</v>
      </c>
    </row>
    <row r="16" customFormat="false" ht="15" hidden="false" customHeight="false" outlineLevel="0" collapsed="false">
      <c r="A16" s="4" t="s">
        <v>12</v>
      </c>
      <c r="B16" s="4" t="s">
        <v>39</v>
      </c>
      <c r="C16" s="4" t="s">
        <v>40</v>
      </c>
      <c r="D16" s="4" t="s">
        <v>41</v>
      </c>
      <c r="E16" s="5" t="n">
        <f aca="false">COUNTIFS('قائمة الوظائف'!$D$5:$D$517,$B16)</f>
        <v>31</v>
      </c>
      <c r="F16" s="5" t="n">
        <f aca="false">COUNTIFS('قائمة الوظائف'!$D$5:$D$517,$B16,'قائمة الوظائف'!$J$5:$J$517,"المخطط التفصيلي")</f>
        <v>20</v>
      </c>
      <c r="G16" s="5" t="n">
        <f aca="false">COUNTIFS('قائمة الوظائف'!$D$5:$D$517,$B16,'قائمة الوظائف'!$J$5:$J$517,"قائمة وظائف المورّد")</f>
        <v>0</v>
      </c>
      <c r="H16" s="5" t="n">
        <f aca="false">COUNTIFS('قائمة الوظائف'!$D$5:$D$517,$B16,'قائمة الوظائف'!$J$5:$J$517,"من واقع الخبرة")</f>
        <v>11</v>
      </c>
      <c r="I16" s="5" t="n">
        <f aca="false">COUNTIFS('قائمة الوظائف'!$D$5:$D$517,$B16,'قائمة الوظائف'!$M$5:$M$517,"نعم")</f>
        <v>20</v>
      </c>
      <c r="J16" s="5" t="n">
        <f aca="false">COUNTIFS('قائمة الوظائف'!$D$5:$D$517,$B16,'قائمة الوظائف'!$L$5:$L$517,"يعمل تشغيلياً")</f>
        <v>0</v>
      </c>
    </row>
    <row r="17" customFormat="false" ht="15" hidden="false" customHeight="false" outlineLevel="0" collapsed="false">
      <c r="A17" s="4" t="s">
        <v>12</v>
      </c>
      <c r="B17" s="4" t="s">
        <v>42</v>
      </c>
      <c r="C17" s="4" t="s">
        <v>43</v>
      </c>
      <c r="D17" s="4" t="s">
        <v>44</v>
      </c>
      <c r="E17" s="5" t="n">
        <f aca="false">COUNTIFS('قائمة الوظائف'!$D$5:$D$517,$B17)</f>
        <v>26</v>
      </c>
      <c r="F17" s="5" t="n">
        <f aca="false">COUNTIFS('قائمة الوظائف'!$D$5:$D$517,$B17,'قائمة الوظائف'!$J$5:$J$517,"المخطط التفصيلي")</f>
        <v>13</v>
      </c>
      <c r="G17" s="5" t="n">
        <f aca="false">COUNTIFS('قائمة الوظائف'!$D$5:$D$517,$B17,'قائمة الوظائف'!$J$5:$J$517,"قائمة وظائف المورّد")</f>
        <v>0</v>
      </c>
      <c r="H17" s="5" t="n">
        <f aca="false">COUNTIFS('قائمة الوظائف'!$D$5:$D$517,$B17,'قائمة الوظائف'!$J$5:$J$517,"من واقع الخبرة")</f>
        <v>13</v>
      </c>
      <c r="I17" s="5" t="n">
        <f aca="false">COUNTIFS('قائمة الوظائف'!$D$5:$D$517,$B17,'قائمة الوظائف'!$M$5:$M$517,"نعم")</f>
        <v>13</v>
      </c>
      <c r="J17" s="5" t="n">
        <f aca="false">COUNTIFS('قائمة الوظائف'!$D$5:$D$517,$B17,'قائمة الوظائف'!$L$5:$L$517,"يعمل تشغيلياً")</f>
        <v>0</v>
      </c>
    </row>
    <row r="18" customFormat="false" ht="15" hidden="false" customHeight="false" outlineLevel="0" collapsed="false">
      <c r="A18" s="4" t="s">
        <v>12</v>
      </c>
      <c r="B18" s="4" t="s">
        <v>45</v>
      </c>
      <c r="C18" s="4" t="s">
        <v>46</v>
      </c>
      <c r="D18" s="4" t="s">
        <v>47</v>
      </c>
      <c r="E18" s="5" t="n">
        <f aca="false">COUNTIFS('قائمة الوظائف'!$D$5:$D$517,$B18)</f>
        <v>27</v>
      </c>
      <c r="F18" s="5" t="n">
        <f aca="false">COUNTIFS('قائمة الوظائف'!$D$5:$D$517,$B18,'قائمة الوظائف'!$J$5:$J$517,"المخطط التفصيلي")</f>
        <v>15</v>
      </c>
      <c r="G18" s="5" t="n">
        <f aca="false">COUNTIFS('قائمة الوظائف'!$D$5:$D$517,$B18,'قائمة الوظائف'!$J$5:$J$517,"قائمة وظائف المورّد")</f>
        <v>0</v>
      </c>
      <c r="H18" s="5" t="n">
        <f aca="false">COUNTIFS('قائمة الوظائف'!$D$5:$D$517,$B18,'قائمة الوظائف'!$J$5:$J$517,"من واقع الخبرة")</f>
        <v>12</v>
      </c>
      <c r="I18" s="5" t="n">
        <f aca="false">COUNTIFS('قائمة الوظائف'!$D$5:$D$517,$B18,'قائمة الوظائف'!$M$5:$M$517,"نعم")</f>
        <v>15</v>
      </c>
      <c r="J18" s="5" t="n">
        <f aca="false">COUNTIFS('قائمة الوظائف'!$D$5:$D$517,$B18,'قائمة الوظائف'!$L$5:$L$517,"يعمل تشغيلياً")</f>
        <v>0</v>
      </c>
    </row>
    <row r="19" customFormat="false" ht="15" hidden="false" customHeight="false" outlineLevel="0" collapsed="false">
      <c r="A19" s="6" t="s">
        <v>48</v>
      </c>
      <c r="B19" s="6" t="s">
        <v>49</v>
      </c>
      <c r="C19" s="7"/>
      <c r="D19" s="7"/>
      <c r="E19" s="8" t="n">
        <f aca="false">SUM(E5:E18)</f>
        <v>341</v>
      </c>
      <c r="F19" s="8" t="n">
        <f aca="false">SUM(F5:F18)</f>
        <v>172</v>
      </c>
      <c r="G19" s="8" t="n">
        <f aca="false">SUM(G5:G18)</f>
        <v>83</v>
      </c>
      <c r="H19" s="8" t="n">
        <f aca="false">SUM(H5:H18)</f>
        <v>86</v>
      </c>
      <c r="I19" s="8" t="n">
        <f aca="false">SUM(I5:I18)</f>
        <v>255</v>
      </c>
      <c r="J19" s="8" t="n">
        <f aca="false">SUM(J5:J18)</f>
        <v>69</v>
      </c>
    </row>
    <row r="20" customFormat="false" ht="15" hidden="false" customHeight="false" outlineLevel="0" collapsed="false">
      <c r="A20" s="4" t="s">
        <v>50</v>
      </c>
      <c r="B20" s="4" t="s">
        <v>51</v>
      </c>
      <c r="C20" s="4" t="s">
        <v>52</v>
      </c>
      <c r="D20" s="4"/>
      <c r="E20" s="5" t="n">
        <f aca="false">COUNTIFS('قائمة الوظائف'!$D$5:$D$517,$B20)</f>
        <v>15</v>
      </c>
      <c r="F20" s="5" t="n">
        <f aca="false">COUNTIFS('قائمة الوظائف'!$D$5:$D$517,$B20,'قائمة الوظائف'!$J$5:$J$517,"المخطط التفصيلي")</f>
        <v>7</v>
      </c>
      <c r="G20" s="5" t="n">
        <f aca="false">COUNTIFS('قائمة الوظائف'!$D$5:$D$517,$B20,'قائمة الوظائف'!$J$5:$J$517,"قائمة وظائف المورّد")</f>
        <v>4</v>
      </c>
      <c r="H20" s="5" t="n">
        <f aca="false">COUNTIFS('قائمة الوظائف'!$D$5:$D$517,$B20,'قائمة الوظائف'!$J$5:$J$517,"من واقع الخبرة")</f>
        <v>4</v>
      </c>
      <c r="I20" s="5" t="n">
        <f aca="false">COUNTIFS('قائمة الوظائف'!$D$5:$D$517,$B20,'قائمة الوظائف'!$M$5:$M$517,"نعم")</f>
        <v>11</v>
      </c>
      <c r="J20" s="5" t="n">
        <f aca="false">COUNTIFS('قائمة الوظائف'!$D$5:$D$517,$B20,'قائمة الوظائف'!$L$5:$L$517,"يعمل تشغيلياً")</f>
        <v>4</v>
      </c>
    </row>
    <row r="21" customFormat="false" ht="15" hidden="false" customHeight="false" outlineLevel="0" collapsed="false">
      <c r="A21" s="4" t="s">
        <v>50</v>
      </c>
      <c r="B21" s="4" t="s">
        <v>53</v>
      </c>
      <c r="C21" s="4" t="s">
        <v>54</v>
      </c>
      <c r="D21" s="4"/>
      <c r="E21" s="5" t="n">
        <f aca="false">COUNTIFS('قائمة الوظائف'!$D$5:$D$517,$B21)</f>
        <v>19</v>
      </c>
      <c r="F21" s="5" t="n">
        <f aca="false">COUNTIFS('قائمة الوظائف'!$D$5:$D$517,$B21,'قائمة الوظائف'!$J$5:$J$517,"المخطط التفصيلي")</f>
        <v>10</v>
      </c>
      <c r="G21" s="5" t="n">
        <f aca="false">COUNTIFS('قائمة الوظائف'!$D$5:$D$517,$B21,'قائمة الوظائف'!$J$5:$J$517,"قائمة وظائف المورّد")</f>
        <v>5</v>
      </c>
      <c r="H21" s="5" t="n">
        <f aca="false">COUNTIFS('قائمة الوظائف'!$D$5:$D$517,$B21,'قائمة الوظائف'!$J$5:$J$517,"من واقع الخبرة")</f>
        <v>4</v>
      </c>
      <c r="I21" s="5" t="n">
        <f aca="false">COUNTIFS('قائمة الوظائف'!$D$5:$D$517,$B21,'قائمة الوظائف'!$M$5:$M$517,"نعم")</f>
        <v>15</v>
      </c>
      <c r="J21" s="5" t="n">
        <f aca="false">COUNTIFS('قائمة الوظائف'!$D$5:$D$517,$B21,'قائمة الوظائف'!$L$5:$L$517,"يعمل تشغيلياً")</f>
        <v>2</v>
      </c>
    </row>
    <row r="22" customFormat="false" ht="15" hidden="false" customHeight="false" outlineLevel="0" collapsed="false">
      <c r="A22" s="4" t="s">
        <v>50</v>
      </c>
      <c r="B22" s="4" t="s">
        <v>55</v>
      </c>
      <c r="C22" s="4" t="s">
        <v>56</v>
      </c>
      <c r="D22" s="4"/>
      <c r="E22" s="5" t="n">
        <f aca="false">COUNTIFS('قائمة الوظائف'!$D$5:$D$517,$B22)</f>
        <v>14</v>
      </c>
      <c r="F22" s="5" t="n">
        <f aca="false">COUNTIFS('قائمة الوظائف'!$D$5:$D$517,$B22,'قائمة الوظائف'!$J$5:$J$517,"المخطط التفصيلي")</f>
        <v>7</v>
      </c>
      <c r="G22" s="5" t="n">
        <f aca="false">COUNTIFS('قائمة الوظائف'!$D$5:$D$517,$B22,'قائمة الوظائف'!$J$5:$J$517,"قائمة وظائف المورّد")</f>
        <v>4</v>
      </c>
      <c r="H22" s="5" t="n">
        <f aca="false">COUNTIFS('قائمة الوظائف'!$D$5:$D$517,$B22,'قائمة الوظائف'!$J$5:$J$517,"من واقع الخبرة")</f>
        <v>3</v>
      </c>
      <c r="I22" s="5" t="n">
        <f aca="false">COUNTIFS('قائمة الوظائف'!$D$5:$D$517,$B22,'قائمة الوظائف'!$M$5:$M$517,"نعم")</f>
        <v>11</v>
      </c>
      <c r="J22" s="5" t="n">
        <f aca="false">COUNTIFS('قائمة الوظائف'!$D$5:$D$517,$B22,'قائمة الوظائف'!$L$5:$L$517,"يعمل تشغيلياً")</f>
        <v>2</v>
      </c>
    </row>
    <row r="23" customFormat="false" ht="15" hidden="false" customHeight="false" outlineLevel="0" collapsed="false">
      <c r="A23" s="4" t="s">
        <v>50</v>
      </c>
      <c r="B23" s="4" t="s">
        <v>57</v>
      </c>
      <c r="C23" s="4" t="s">
        <v>58</v>
      </c>
      <c r="D23" s="4"/>
      <c r="E23" s="5" t="n">
        <f aca="false">COUNTIFS('قائمة الوظائف'!$D$5:$D$517,$B23)</f>
        <v>11</v>
      </c>
      <c r="F23" s="5" t="n">
        <f aca="false">COUNTIFS('قائمة الوظائف'!$D$5:$D$517,$B23,'قائمة الوظائف'!$J$5:$J$517,"المخطط التفصيلي")</f>
        <v>4</v>
      </c>
      <c r="G23" s="5" t="n">
        <f aca="false">COUNTIFS('قائمة الوظائف'!$D$5:$D$517,$B23,'قائمة الوظائف'!$J$5:$J$517,"قائمة وظائف المورّد")</f>
        <v>1</v>
      </c>
      <c r="H23" s="5" t="n">
        <f aca="false">COUNTIFS('قائمة الوظائف'!$D$5:$D$517,$B23,'قائمة الوظائف'!$J$5:$J$517,"من واقع الخبرة")</f>
        <v>6</v>
      </c>
      <c r="I23" s="5" t="n">
        <f aca="false">COUNTIFS('قائمة الوظائف'!$D$5:$D$517,$B23,'قائمة الوظائف'!$M$5:$M$517,"نعم")</f>
        <v>5</v>
      </c>
      <c r="J23" s="5" t="n">
        <f aca="false">COUNTIFS('قائمة الوظائف'!$D$5:$D$517,$B23,'قائمة الوظائف'!$L$5:$L$517,"يعمل تشغيلياً")</f>
        <v>1</v>
      </c>
    </row>
    <row r="24" customFormat="false" ht="15" hidden="false" customHeight="false" outlineLevel="0" collapsed="false">
      <c r="A24" s="4" t="s">
        <v>50</v>
      </c>
      <c r="B24" s="4" t="s">
        <v>59</v>
      </c>
      <c r="C24" s="4" t="s">
        <v>60</v>
      </c>
      <c r="D24" s="4" t="s">
        <v>29</v>
      </c>
      <c r="E24" s="5" t="n">
        <f aca="false">COUNTIFS('قائمة الوظائف'!$D$5:$D$517,$B24)</f>
        <v>7</v>
      </c>
      <c r="F24" s="5" t="n">
        <f aca="false">COUNTIFS('قائمة الوظائف'!$D$5:$D$517,$B24,'قائمة الوظائف'!$J$5:$J$517,"المخطط التفصيلي")</f>
        <v>0</v>
      </c>
      <c r="G24" s="5" t="n">
        <f aca="false">COUNTIFS('قائمة الوظائف'!$D$5:$D$517,$B24,'قائمة الوظائف'!$J$5:$J$517,"قائمة وظائف المورّد")</f>
        <v>7</v>
      </c>
      <c r="H24" s="5" t="n">
        <f aca="false">COUNTIFS('قائمة الوظائف'!$D$5:$D$517,$B24,'قائمة الوظائف'!$J$5:$J$517,"من واقع الخبرة")</f>
        <v>0</v>
      </c>
      <c r="I24" s="5" t="n">
        <f aca="false">COUNTIFS('قائمة الوظائف'!$D$5:$D$517,$B24,'قائمة الوظائف'!$M$5:$M$517,"نعم")</f>
        <v>7</v>
      </c>
      <c r="J24" s="5" t="n">
        <f aca="false">COUNTIFS('قائمة الوظائف'!$D$5:$D$517,$B24,'قائمة الوظائف'!$L$5:$L$517,"يعمل تشغيلياً")</f>
        <v>4</v>
      </c>
    </row>
    <row r="25" customFormat="false" ht="15" hidden="false" customHeight="false" outlineLevel="0" collapsed="false">
      <c r="A25" s="4" t="s">
        <v>50</v>
      </c>
      <c r="B25" s="4" t="s">
        <v>61</v>
      </c>
      <c r="C25" s="4" t="s">
        <v>62</v>
      </c>
      <c r="D25" s="4"/>
      <c r="E25" s="5" t="n">
        <f aca="false">COUNTIFS('قائمة الوظائف'!$D$5:$D$517,$B25)</f>
        <v>18</v>
      </c>
      <c r="F25" s="5" t="n">
        <f aca="false">COUNTIFS('قائمة الوظائف'!$D$5:$D$517,$B25,'قائمة الوظائف'!$J$5:$J$517,"المخطط التفصيلي")</f>
        <v>9</v>
      </c>
      <c r="G25" s="5" t="n">
        <f aca="false">COUNTIFS('قائمة الوظائف'!$D$5:$D$517,$B25,'قائمة الوظائف'!$J$5:$J$517,"قائمة وظائف المورّد")</f>
        <v>1</v>
      </c>
      <c r="H25" s="5" t="n">
        <f aca="false">COUNTIFS('قائمة الوظائف'!$D$5:$D$517,$B25,'قائمة الوظائف'!$J$5:$J$517,"من واقع الخبرة")</f>
        <v>8</v>
      </c>
      <c r="I25" s="5" t="n">
        <f aca="false">COUNTIFS('قائمة الوظائف'!$D$5:$D$517,$B25,'قائمة الوظائف'!$M$5:$M$517,"نعم")</f>
        <v>10</v>
      </c>
      <c r="J25" s="5" t="n">
        <f aca="false">COUNTIFS('قائمة الوظائف'!$D$5:$D$517,$B25,'قائمة الوظائف'!$L$5:$L$517,"يعمل تشغيلياً")</f>
        <v>0</v>
      </c>
    </row>
    <row r="26" customFormat="false" ht="15" hidden="false" customHeight="false" outlineLevel="0" collapsed="false">
      <c r="A26" s="6" t="s">
        <v>63</v>
      </c>
      <c r="B26" s="6" t="s">
        <v>64</v>
      </c>
      <c r="C26" s="7"/>
      <c r="D26" s="7"/>
      <c r="E26" s="8" t="n">
        <f aca="false">SUM(E20:E25)</f>
        <v>84</v>
      </c>
      <c r="F26" s="8" t="n">
        <f aca="false">SUM(F20:F25)</f>
        <v>37</v>
      </c>
      <c r="G26" s="8" t="n">
        <f aca="false">SUM(G20:G25)</f>
        <v>22</v>
      </c>
      <c r="H26" s="8" t="n">
        <f aca="false">SUM(H20:H25)</f>
        <v>25</v>
      </c>
      <c r="I26" s="8" t="n">
        <f aca="false">SUM(I20:I25)</f>
        <v>59</v>
      </c>
      <c r="J26" s="8" t="n">
        <f aca="false">SUM(J20:J25)</f>
        <v>13</v>
      </c>
    </row>
    <row r="27" customFormat="false" ht="15" hidden="false" customHeight="false" outlineLevel="0" collapsed="false">
      <c r="A27" s="4" t="s">
        <v>65</v>
      </c>
      <c r="B27" s="4" t="s">
        <v>66</v>
      </c>
      <c r="C27" s="4" t="s">
        <v>67</v>
      </c>
      <c r="D27" s="4"/>
      <c r="E27" s="5" t="n">
        <f aca="false">COUNTIFS('قائمة الوظائف'!$D$5:$D$517,$B27)</f>
        <v>21</v>
      </c>
      <c r="F27" s="5" t="n">
        <f aca="false">COUNTIFS('قائمة الوظائف'!$D$5:$D$517,$B27,'قائمة الوظائف'!$J$5:$J$517,"المخطط التفصيلي")</f>
        <v>10</v>
      </c>
      <c r="G27" s="5" t="n">
        <f aca="false">COUNTIFS('قائمة الوظائف'!$D$5:$D$517,$B27,'قائمة الوظائف'!$J$5:$J$517,"قائمة وظائف المورّد")</f>
        <v>7</v>
      </c>
      <c r="H27" s="5" t="n">
        <f aca="false">COUNTIFS('قائمة الوظائف'!$D$5:$D$517,$B27,'قائمة الوظائف'!$J$5:$J$517,"من واقع الخبرة")</f>
        <v>4</v>
      </c>
      <c r="I27" s="5" t="n">
        <f aca="false">COUNTIFS('قائمة الوظائف'!$D$5:$D$517,$B27,'قائمة الوظائف'!$M$5:$M$517,"نعم")</f>
        <v>17</v>
      </c>
      <c r="J27" s="5" t="n">
        <f aca="false">COUNTIFS('قائمة الوظائف'!$D$5:$D$517,$B27,'قائمة الوظائف'!$L$5:$L$517,"يعمل تشغيلياً")</f>
        <v>2</v>
      </c>
    </row>
    <row r="28" customFormat="false" ht="15" hidden="false" customHeight="false" outlineLevel="0" collapsed="false">
      <c r="A28" s="4" t="s">
        <v>65</v>
      </c>
      <c r="B28" s="4" t="s">
        <v>68</v>
      </c>
      <c r="C28" s="4" t="s">
        <v>69</v>
      </c>
      <c r="D28" s="4"/>
      <c r="E28" s="5" t="n">
        <f aca="false">COUNTIFS('قائمة الوظائف'!$D$5:$D$517,$B28)</f>
        <v>3</v>
      </c>
      <c r="F28" s="5" t="n">
        <f aca="false">COUNTIFS('قائمة الوظائف'!$D$5:$D$517,$B28,'قائمة الوظائف'!$J$5:$J$517,"المخطط التفصيلي")</f>
        <v>0</v>
      </c>
      <c r="G28" s="5" t="n">
        <f aca="false">COUNTIFS('قائمة الوظائف'!$D$5:$D$517,$B28,'قائمة الوظائف'!$J$5:$J$517,"قائمة وظائف المورّد")</f>
        <v>1</v>
      </c>
      <c r="H28" s="5" t="n">
        <f aca="false">COUNTIFS('قائمة الوظائف'!$D$5:$D$517,$B28,'قائمة الوظائف'!$J$5:$J$517,"من واقع الخبرة")</f>
        <v>2</v>
      </c>
      <c r="I28" s="5" t="n">
        <f aca="false">COUNTIFS('قائمة الوظائف'!$D$5:$D$517,$B28,'قائمة الوظائف'!$M$5:$M$517,"نعم")</f>
        <v>1</v>
      </c>
      <c r="J28" s="5" t="n">
        <f aca="false">COUNTIFS('قائمة الوظائف'!$D$5:$D$517,$B28,'قائمة الوظائف'!$L$5:$L$517,"يعمل تشغيلياً")</f>
        <v>0</v>
      </c>
    </row>
    <row r="29" customFormat="false" ht="15" hidden="false" customHeight="false" outlineLevel="0" collapsed="false">
      <c r="A29" s="6" t="s">
        <v>70</v>
      </c>
      <c r="B29" s="6" t="s">
        <v>71</v>
      </c>
      <c r="C29" s="7"/>
      <c r="D29" s="7"/>
      <c r="E29" s="8" t="n">
        <f aca="false">SUM(E27:E28)</f>
        <v>24</v>
      </c>
      <c r="F29" s="8" t="n">
        <f aca="false">SUM(F27:F28)</f>
        <v>10</v>
      </c>
      <c r="G29" s="8" t="n">
        <f aca="false">SUM(G27:G28)</f>
        <v>8</v>
      </c>
      <c r="H29" s="8" t="n">
        <f aca="false">SUM(H27:H28)</f>
        <v>6</v>
      </c>
      <c r="I29" s="8" t="n">
        <f aca="false">SUM(I27:I28)</f>
        <v>18</v>
      </c>
      <c r="J29" s="8" t="n">
        <f aca="false">SUM(J27:J28)</f>
        <v>2</v>
      </c>
    </row>
    <row r="30" customFormat="false" ht="15" hidden="false" customHeight="false" outlineLevel="0" collapsed="false">
      <c r="A30" s="4" t="s">
        <v>72</v>
      </c>
      <c r="B30" s="4" t="s">
        <v>73</v>
      </c>
      <c r="C30" s="4" t="s">
        <v>74</v>
      </c>
      <c r="D30" s="4"/>
      <c r="E30" s="5" t="n">
        <f aca="false">COUNTIFS('قائمة الوظائف'!$D$5:$D$517,$B30)</f>
        <v>8</v>
      </c>
      <c r="F30" s="5" t="n">
        <f aca="false">COUNTIFS('قائمة الوظائف'!$D$5:$D$517,$B30,'قائمة الوظائف'!$J$5:$J$517,"المخطط التفصيلي")</f>
        <v>3</v>
      </c>
      <c r="G30" s="5" t="n">
        <f aca="false">COUNTIFS('قائمة الوظائف'!$D$5:$D$517,$B30,'قائمة الوظائف'!$J$5:$J$517,"قائمة وظائف المورّد")</f>
        <v>1</v>
      </c>
      <c r="H30" s="5" t="n">
        <f aca="false">COUNTIFS('قائمة الوظائف'!$D$5:$D$517,$B30,'قائمة الوظائف'!$J$5:$J$517,"من واقع الخبرة")</f>
        <v>4</v>
      </c>
      <c r="I30" s="5" t="n">
        <f aca="false">COUNTIFS('قائمة الوظائف'!$D$5:$D$517,$B30,'قائمة الوظائف'!$M$5:$M$517,"نعم")</f>
        <v>4</v>
      </c>
      <c r="J30" s="5" t="n">
        <f aca="false">COUNTIFS('قائمة الوظائف'!$D$5:$D$517,$B30,'قائمة الوظائف'!$L$5:$L$517,"يعمل تشغيلياً")</f>
        <v>1</v>
      </c>
    </row>
    <row r="31" customFormat="false" ht="15" hidden="false" customHeight="false" outlineLevel="0" collapsed="false">
      <c r="A31" s="4" t="s">
        <v>72</v>
      </c>
      <c r="B31" s="4" t="s">
        <v>75</v>
      </c>
      <c r="C31" s="4" t="s">
        <v>76</v>
      </c>
      <c r="D31" s="4"/>
      <c r="E31" s="5" t="n">
        <f aca="false">COUNTIFS('قائمة الوظائف'!$D$5:$D$517,$B31)</f>
        <v>8</v>
      </c>
      <c r="F31" s="5" t="n">
        <f aca="false">COUNTIFS('قائمة الوظائف'!$D$5:$D$517,$B31,'قائمة الوظائف'!$J$5:$J$517,"المخطط التفصيلي")</f>
        <v>2</v>
      </c>
      <c r="G31" s="5" t="n">
        <f aca="false">COUNTIFS('قائمة الوظائف'!$D$5:$D$517,$B31,'قائمة الوظائف'!$J$5:$J$517,"قائمة وظائف المورّد")</f>
        <v>1</v>
      </c>
      <c r="H31" s="5" t="n">
        <f aca="false">COUNTIFS('قائمة الوظائف'!$D$5:$D$517,$B31,'قائمة الوظائف'!$J$5:$J$517,"من واقع الخبرة")</f>
        <v>5</v>
      </c>
      <c r="I31" s="5" t="n">
        <f aca="false">COUNTIFS('قائمة الوظائف'!$D$5:$D$517,$B31,'قائمة الوظائف'!$M$5:$M$517,"نعم")</f>
        <v>3</v>
      </c>
      <c r="J31" s="5" t="n">
        <f aca="false">COUNTIFS('قائمة الوظائف'!$D$5:$D$517,$B31,'قائمة الوظائف'!$L$5:$L$517,"يعمل تشغيلياً")</f>
        <v>1</v>
      </c>
    </row>
    <row r="32" customFormat="false" ht="15" hidden="false" customHeight="false" outlineLevel="0" collapsed="false">
      <c r="A32" s="4" t="s">
        <v>72</v>
      </c>
      <c r="B32" s="4" t="s">
        <v>77</v>
      </c>
      <c r="C32" s="4" t="s">
        <v>78</v>
      </c>
      <c r="D32" s="4"/>
      <c r="E32" s="5" t="n">
        <f aca="false">COUNTIFS('قائمة الوظائف'!$D$5:$D$517,$B32)</f>
        <v>9</v>
      </c>
      <c r="F32" s="5" t="n">
        <f aca="false">COUNTIFS('قائمة الوظائف'!$D$5:$D$517,$B32,'قائمة الوظائف'!$J$5:$J$517,"المخطط التفصيلي")</f>
        <v>2</v>
      </c>
      <c r="G32" s="5" t="n">
        <f aca="false">COUNTIFS('قائمة الوظائف'!$D$5:$D$517,$B32,'قائمة الوظائف'!$J$5:$J$517,"قائمة وظائف المورّد")</f>
        <v>2</v>
      </c>
      <c r="H32" s="5" t="n">
        <f aca="false">COUNTIFS('قائمة الوظائف'!$D$5:$D$517,$B32,'قائمة الوظائف'!$J$5:$J$517,"من واقع الخبرة")</f>
        <v>5</v>
      </c>
      <c r="I32" s="5" t="n">
        <f aca="false">COUNTIFS('قائمة الوظائف'!$D$5:$D$517,$B32,'قائمة الوظائف'!$M$5:$M$517,"نعم")</f>
        <v>4</v>
      </c>
      <c r="J32" s="5" t="n">
        <f aca="false">COUNTIFS('قائمة الوظائف'!$D$5:$D$517,$B32,'قائمة الوظائف'!$L$5:$L$517,"يعمل تشغيلياً")</f>
        <v>2</v>
      </c>
    </row>
    <row r="33" customFormat="false" ht="15" hidden="false" customHeight="false" outlineLevel="0" collapsed="false">
      <c r="A33" s="4" t="s">
        <v>72</v>
      </c>
      <c r="B33" s="4" t="s">
        <v>79</v>
      </c>
      <c r="C33" s="4" t="s">
        <v>80</v>
      </c>
      <c r="D33" s="4"/>
      <c r="E33" s="5" t="n">
        <f aca="false">COUNTIFS('قائمة الوظائف'!$D$5:$D$517,$B33)</f>
        <v>6</v>
      </c>
      <c r="F33" s="5" t="n">
        <f aca="false">COUNTIFS('قائمة الوظائف'!$D$5:$D$517,$B33,'قائمة الوظائف'!$J$5:$J$517,"المخطط التفصيلي")</f>
        <v>0</v>
      </c>
      <c r="G33" s="5" t="n">
        <f aca="false">COUNTIFS('قائمة الوظائف'!$D$5:$D$517,$B33,'قائمة الوظائف'!$J$5:$J$517,"قائمة وظائف المورّد")</f>
        <v>2</v>
      </c>
      <c r="H33" s="5" t="n">
        <f aca="false">COUNTIFS('قائمة الوظائف'!$D$5:$D$517,$B33,'قائمة الوظائف'!$J$5:$J$517,"من واقع الخبرة")</f>
        <v>4</v>
      </c>
      <c r="I33" s="5" t="n">
        <f aca="false">COUNTIFS('قائمة الوظائف'!$D$5:$D$517,$B33,'قائمة الوظائف'!$M$5:$M$517,"نعم")</f>
        <v>2</v>
      </c>
      <c r="J33" s="5" t="n">
        <f aca="false">COUNTIFS('قائمة الوظائف'!$D$5:$D$517,$B33,'قائمة الوظائف'!$L$5:$L$517,"يعمل تشغيلياً")</f>
        <v>2</v>
      </c>
    </row>
    <row r="34" customFormat="false" ht="15" hidden="false" customHeight="false" outlineLevel="0" collapsed="false">
      <c r="A34" s="4" t="s">
        <v>72</v>
      </c>
      <c r="B34" s="4" t="s">
        <v>81</v>
      </c>
      <c r="C34" s="4" t="s">
        <v>82</v>
      </c>
      <c r="D34" s="4"/>
      <c r="E34" s="5" t="n">
        <f aca="false">COUNTIFS('قائمة الوظائف'!$D$5:$D$517,$B34)</f>
        <v>5</v>
      </c>
      <c r="F34" s="5" t="n">
        <f aca="false">COUNTIFS('قائمة الوظائف'!$D$5:$D$517,$B34,'قائمة الوظائف'!$J$5:$J$517,"المخطط التفصيلي")</f>
        <v>0</v>
      </c>
      <c r="G34" s="5" t="n">
        <f aca="false">COUNTIFS('قائمة الوظائف'!$D$5:$D$517,$B34,'قائمة الوظائف'!$J$5:$J$517,"قائمة وظائف المورّد")</f>
        <v>1</v>
      </c>
      <c r="H34" s="5" t="n">
        <f aca="false">COUNTIFS('قائمة الوظائف'!$D$5:$D$517,$B34,'قائمة الوظائف'!$J$5:$J$517,"من واقع الخبرة")</f>
        <v>4</v>
      </c>
      <c r="I34" s="5" t="n">
        <f aca="false">COUNTIFS('قائمة الوظائف'!$D$5:$D$517,$B34,'قائمة الوظائف'!$M$5:$M$517,"نعم")</f>
        <v>1</v>
      </c>
      <c r="J34" s="5" t="n">
        <f aca="false">COUNTIFS('قائمة الوظائف'!$D$5:$D$517,$B34,'قائمة الوظائف'!$L$5:$L$517,"يعمل تشغيلياً")</f>
        <v>1</v>
      </c>
    </row>
    <row r="35" customFormat="false" ht="15" hidden="false" customHeight="false" outlineLevel="0" collapsed="false">
      <c r="A35" s="4" t="s">
        <v>72</v>
      </c>
      <c r="B35" s="4" t="s">
        <v>83</v>
      </c>
      <c r="C35" s="4" t="s">
        <v>84</v>
      </c>
      <c r="D35" s="4"/>
      <c r="E35" s="5" t="n">
        <f aca="false">COUNTIFS('قائمة الوظائف'!$D$5:$D$517,$B35)</f>
        <v>10</v>
      </c>
      <c r="F35" s="5" t="n">
        <f aca="false">COUNTIFS('قائمة الوظائف'!$D$5:$D$517,$B35,'قائمة الوظائف'!$J$5:$J$517,"المخطط التفصيلي")</f>
        <v>2</v>
      </c>
      <c r="G35" s="5" t="n">
        <f aca="false">COUNTIFS('قائمة الوظائف'!$D$5:$D$517,$B35,'قائمة الوظائف'!$J$5:$J$517,"قائمة وظائف المورّد")</f>
        <v>4</v>
      </c>
      <c r="H35" s="5" t="n">
        <f aca="false">COUNTIFS('قائمة الوظائف'!$D$5:$D$517,$B35,'قائمة الوظائف'!$J$5:$J$517,"من واقع الخبرة")</f>
        <v>4</v>
      </c>
      <c r="I35" s="5" t="n">
        <f aca="false">COUNTIFS('قائمة الوظائف'!$D$5:$D$517,$B35,'قائمة الوظائف'!$M$5:$M$517,"نعم")</f>
        <v>6</v>
      </c>
      <c r="J35" s="5" t="n">
        <f aca="false">COUNTIFS('قائمة الوظائف'!$D$5:$D$517,$B35,'قائمة الوظائف'!$L$5:$L$517,"يعمل تشغيلياً")</f>
        <v>2</v>
      </c>
    </row>
    <row r="36" customFormat="false" ht="15" hidden="false" customHeight="false" outlineLevel="0" collapsed="false">
      <c r="A36" s="4" t="s">
        <v>72</v>
      </c>
      <c r="B36" s="4" t="s">
        <v>85</v>
      </c>
      <c r="C36" s="4" t="s">
        <v>86</v>
      </c>
      <c r="D36" s="4"/>
      <c r="E36" s="5" t="n">
        <f aca="false">COUNTIFS('قائمة الوظائف'!$D$5:$D$517,$B36)</f>
        <v>10</v>
      </c>
      <c r="F36" s="5" t="n">
        <f aca="false">COUNTIFS('قائمة الوظائف'!$D$5:$D$517,$B36,'قائمة الوظائف'!$J$5:$J$517,"المخطط التفصيلي")</f>
        <v>2</v>
      </c>
      <c r="G36" s="5" t="n">
        <f aca="false">COUNTIFS('قائمة الوظائف'!$D$5:$D$517,$B36,'قائمة الوظائف'!$J$5:$J$517,"قائمة وظائف المورّد")</f>
        <v>1</v>
      </c>
      <c r="H36" s="5" t="n">
        <f aca="false">COUNTIFS('قائمة الوظائف'!$D$5:$D$517,$B36,'قائمة الوظائف'!$J$5:$J$517,"من واقع الخبرة")</f>
        <v>7</v>
      </c>
      <c r="I36" s="5" t="n">
        <f aca="false">COUNTIFS('قائمة الوظائف'!$D$5:$D$517,$B36,'قائمة الوظائف'!$M$5:$M$517,"نعم")</f>
        <v>3</v>
      </c>
      <c r="J36" s="5" t="n">
        <f aca="false">COUNTIFS('قائمة الوظائف'!$D$5:$D$517,$B36,'قائمة الوظائف'!$L$5:$L$517,"يعمل تشغيلياً")</f>
        <v>1</v>
      </c>
    </row>
    <row r="37" customFormat="false" ht="15" hidden="false" customHeight="false" outlineLevel="0" collapsed="false">
      <c r="A37" s="4" t="s">
        <v>72</v>
      </c>
      <c r="B37" s="4" t="s">
        <v>87</v>
      </c>
      <c r="C37" s="4" t="s">
        <v>88</v>
      </c>
      <c r="D37" s="4"/>
      <c r="E37" s="5" t="n">
        <f aca="false">COUNTIFS('قائمة الوظائف'!$D$5:$D$517,$B37)</f>
        <v>8</v>
      </c>
      <c r="F37" s="5" t="n">
        <f aca="false">COUNTIFS('قائمة الوظائف'!$D$5:$D$517,$B37,'قائمة الوظائف'!$J$5:$J$517,"المخطط التفصيلي")</f>
        <v>2</v>
      </c>
      <c r="G37" s="5" t="n">
        <f aca="false">COUNTIFS('قائمة الوظائف'!$D$5:$D$517,$B37,'قائمة الوظائف'!$J$5:$J$517,"قائمة وظائف المورّد")</f>
        <v>0</v>
      </c>
      <c r="H37" s="5" t="n">
        <f aca="false">COUNTIFS('قائمة الوظائف'!$D$5:$D$517,$B37,'قائمة الوظائف'!$J$5:$J$517,"من واقع الخبرة")</f>
        <v>6</v>
      </c>
      <c r="I37" s="5" t="n">
        <f aca="false">COUNTIFS('قائمة الوظائف'!$D$5:$D$517,$B37,'قائمة الوظائف'!$M$5:$M$517,"نعم")</f>
        <v>2</v>
      </c>
      <c r="J37" s="5" t="n">
        <f aca="false">COUNTIFS('قائمة الوظائف'!$D$5:$D$517,$B37,'قائمة الوظائف'!$L$5:$L$517,"يعمل تشغيلياً")</f>
        <v>0</v>
      </c>
    </row>
    <row r="38" customFormat="false" ht="15" hidden="false" customHeight="false" outlineLevel="0" collapsed="false">
      <c r="A38" s="6" t="s">
        <v>89</v>
      </c>
      <c r="B38" s="6" t="s">
        <v>90</v>
      </c>
      <c r="C38" s="7"/>
      <c r="D38" s="7"/>
      <c r="E38" s="8" t="n">
        <f aca="false">SUM(E30:E37)</f>
        <v>64</v>
      </c>
      <c r="F38" s="8" t="n">
        <f aca="false">SUM(F30:F37)</f>
        <v>13</v>
      </c>
      <c r="G38" s="8" t="n">
        <f aca="false">SUM(G30:G37)</f>
        <v>12</v>
      </c>
      <c r="H38" s="8" t="n">
        <f aca="false">SUM(H30:H37)</f>
        <v>39</v>
      </c>
      <c r="I38" s="8" t="n">
        <f aca="false">SUM(I30:I37)</f>
        <v>25</v>
      </c>
      <c r="J38" s="8" t="n">
        <f aca="false">SUM(J30:J37)</f>
        <v>10</v>
      </c>
    </row>
    <row r="39" customFormat="false" ht="15" hidden="false" customHeight="false" outlineLevel="0" collapsed="false">
      <c r="A39" s="9" t="s">
        <v>91</v>
      </c>
      <c r="B39" s="9" t="s">
        <v>92</v>
      </c>
      <c r="C39" s="10"/>
      <c r="D39" s="10"/>
      <c r="E39" s="11" t="n">
        <f aca="false">E19+E26+E29+E38</f>
        <v>513</v>
      </c>
      <c r="F39" s="11" t="n">
        <f aca="false">F19+F26+F29+F38</f>
        <v>232</v>
      </c>
      <c r="G39" s="11" t="n">
        <f aca="false">G19+G26+G29+G38</f>
        <v>125</v>
      </c>
      <c r="H39" s="11" t="n">
        <f aca="false">H19+H26+H29+H38</f>
        <v>156</v>
      </c>
      <c r="I39" s="11" t="n">
        <f aca="false">I19+I26+I29+I38</f>
        <v>357</v>
      </c>
      <c r="J39" s="11" t="n">
        <f aca="false">J19+J26+J29+J38</f>
        <v>94</v>
      </c>
    </row>
    <row r="41" customFormat="false" ht="15" hidden="false" customHeight="false" outlineLevel="0" collapsed="false">
      <c r="A41" s="12" t="s">
        <v>93</v>
      </c>
      <c r="E41" s="12" t="n">
        <f aca="false">COUNTA('قائمة الوظائف'!$H$5:$H$517)</f>
        <v>513</v>
      </c>
      <c r="F41" s="13" t="str">
        <f aca="false">IF(E41=E39,"مطابق","غير مطابق")</f>
        <v>مطابق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6" min="6" style="0" width="9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9" min="9" style="0" width="60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" t="s">
        <v>94</v>
      </c>
    </row>
    <row r="2" customFormat="false" ht="15" hidden="false" customHeight="false" outlineLevel="0" collapsed="false">
      <c r="A2" s="14" t="s">
        <v>95</v>
      </c>
    </row>
    <row r="4" customFormat="false" ht="31.5" hidden="false" customHeight="true" outlineLevel="0" collapsed="false">
      <c r="A4" s="3" t="s">
        <v>96</v>
      </c>
      <c r="B4" s="3" t="s">
        <v>2</v>
      </c>
      <c r="C4" s="3" t="s">
        <v>97</v>
      </c>
      <c r="D4" s="3" t="s">
        <v>3</v>
      </c>
      <c r="E4" s="3" t="s">
        <v>4</v>
      </c>
      <c r="F4" s="3" t="s">
        <v>98</v>
      </c>
      <c r="G4" s="3" t="s">
        <v>99</v>
      </c>
      <c r="H4" s="3" t="s">
        <v>100</v>
      </c>
      <c r="I4" s="3" t="s">
        <v>101</v>
      </c>
      <c r="J4" s="3" t="s">
        <v>102</v>
      </c>
      <c r="K4" s="3" t="s">
        <v>103</v>
      </c>
      <c r="L4" s="3" t="s">
        <v>104</v>
      </c>
      <c r="M4" s="3" t="s">
        <v>105</v>
      </c>
    </row>
    <row r="5" customFormat="false" ht="23.85" hidden="false" customHeight="false" outlineLevel="0" collapsed="false">
      <c r="A5" s="5" t="n">
        <v>1</v>
      </c>
      <c r="B5" s="4" t="s">
        <v>12</v>
      </c>
      <c r="C5" s="4" t="s">
        <v>106</v>
      </c>
      <c r="D5" s="4" t="s">
        <v>13</v>
      </c>
      <c r="E5" s="4" t="s">
        <v>14</v>
      </c>
      <c r="F5" s="5" t="s">
        <v>107</v>
      </c>
      <c r="G5" s="4"/>
      <c r="H5" s="5" t="s">
        <v>108</v>
      </c>
      <c r="I5" s="4" t="s">
        <v>109</v>
      </c>
      <c r="J5" s="4" t="s">
        <v>7</v>
      </c>
      <c r="K5" s="4" t="s">
        <v>110</v>
      </c>
      <c r="L5" s="4" t="s">
        <v>111</v>
      </c>
      <c r="M5" s="5" t="s">
        <v>112</v>
      </c>
    </row>
    <row r="6" customFormat="false" ht="23.85" hidden="false" customHeight="false" outlineLevel="0" collapsed="false">
      <c r="A6" s="5" t="n">
        <v>2</v>
      </c>
      <c r="B6" s="4" t="s">
        <v>12</v>
      </c>
      <c r="C6" s="4" t="s">
        <v>106</v>
      </c>
      <c r="D6" s="4" t="s">
        <v>13</v>
      </c>
      <c r="E6" s="4" t="s">
        <v>14</v>
      </c>
      <c r="F6" s="5" t="s">
        <v>107</v>
      </c>
      <c r="G6" s="4"/>
      <c r="H6" s="5" t="s">
        <v>113</v>
      </c>
      <c r="I6" s="4" t="s">
        <v>114</v>
      </c>
      <c r="J6" s="4" t="s">
        <v>7</v>
      </c>
      <c r="K6" s="4" t="s">
        <v>110</v>
      </c>
      <c r="L6" s="4" t="s">
        <v>111</v>
      </c>
      <c r="M6" s="5" t="s">
        <v>112</v>
      </c>
    </row>
    <row r="7" customFormat="false" ht="23.85" hidden="false" customHeight="false" outlineLevel="0" collapsed="false">
      <c r="A7" s="5" t="n">
        <v>3</v>
      </c>
      <c r="B7" s="4" t="s">
        <v>12</v>
      </c>
      <c r="C7" s="4" t="s">
        <v>106</v>
      </c>
      <c r="D7" s="4" t="s">
        <v>13</v>
      </c>
      <c r="E7" s="4" t="s">
        <v>14</v>
      </c>
      <c r="F7" s="5" t="s">
        <v>107</v>
      </c>
      <c r="G7" s="4"/>
      <c r="H7" s="5" t="s">
        <v>115</v>
      </c>
      <c r="I7" s="4" t="s">
        <v>116</v>
      </c>
      <c r="J7" s="4" t="s">
        <v>7</v>
      </c>
      <c r="K7" s="4" t="s">
        <v>117</v>
      </c>
      <c r="L7" s="4" t="s">
        <v>111</v>
      </c>
      <c r="M7" s="5" t="s">
        <v>112</v>
      </c>
    </row>
    <row r="8" customFormat="false" ht="23.85" hidden="false" customHeight="false" outlineLevel="0" collapsed="false">
      <c r="A8" s="5" t="n">
        <v>4</v>
      </c>
      <c r="B8" s="4" t="s">
        <v>12</v>
      </c>
      <c r="C8" s="4" t="s">
        <v>106</v>
      </c>
      <c r="D8" s="4" t="s">
        <v>13</v>
      </c>
      <c r="E8" s="4" t="s">
        <v>14</v>
      </c>
      <c r="F8" s="5" t="s">
        <v>107</v>
      </c>
      <c r="G8" s="4"/>
      <c r="H8" s="5" t="s">
        <v>118</v>
      </c>
      <c r="I8" s="4" t="s">
        <v>119</v>
      </c>
      <c r="J8" s="4" t="s">
        <v>7</v>
      </c>
      <c r="K8" s="4" t="s">
        <v>117</v>
      </c>
      <c r="L8" s="4" t="s">
        <v>111</v>
      </c>
      <c r="M8" s="5" t="s">
        <v>112</v>
      </c>
    </row>
    <row r="9" customFormat="false" ht="23.85" hidden="false" customHeight="false" outlineLevel="0" collapsed="false">
      <c r="A9" s="5" t="n">
        <v>5</v>
      </c>
      <c r="B9" s="4" t="s">
        <v>12</v>
      </c>
      <c r="C9" s="4" t="s">
        <v>106</v>
      </c>
      <c r="D9" s="4" t="s">
        <v>13</v>
      </c>
      <c r="E9" s="4" t="s">
        <v>14</v>
      </c>
      <c r="F9" s="5" t="s">
        <v>107</v>
      </c>
      <c r="G9" s="4"/>
      <c r="H9" s="5" t="s">
        <v>120</v>
      </c>
      <c r="I9" s="4" t="s">
        <v>121</v>
      </c>
      <c r="J9" s="4" t="s">
        <v>7</v>
      </c>
      <c r="K9" s="4" t="s">
        <v>117</v>
      </c>
      <c r="L9" s="4" t="s">
        <v>111</v>
      </c>
      <c r="M9" s="5" t="s">
        <v>112</v>
      </c>
    </row>
    <row r="10" customFormat="false" ht="23.85" hidden="false" customHeight="false" outlineLevel="0" collapsed="false">
      <c r="A10" s="5" t="n">
        <v>6</v>
      </c>
      <c r="B10" s="4" t="s">
        <v>12</v>
      </c>
      <c r="C10" s="4" t="s">
        <v>106</v>
      </c>
      <c r="D10" s="4" t="s">
        <v>13</v>
      </c>
      <c r="E10" s="4" t="s">
        <v>14</v>
      </c>
      <c r="F10" s="5" t="s">
        <v>107</v>
      </c>
      <c r="G10" s="4"/>
      <c r="H10" s="5" t="s">
        <v>122</v>
      </c>
      <c r="I10" s="4" t="s">
        <v>123</v>
      </c>
      <c r="J10" s="4" t="s">
        <v>7</v>
      </c>
      <c r="K10" s="4" t="s">
        <v>117</v>
      </c>
      <c r="L10" s="4" t="s">
        <v>111</v>
      </c>
      <c r="M10" s="5" t="s">
        <v>112</v>
      </c>
    </row>
    <row r="11" customFormat="false" ht="23.85" hidden="false" customHeight="false" outlineLevel="0" collapsed="false">
      <c r="A11" s="5" t="n">
        <v>7</v>
      </c>
      <c r="B11" s="4" t="s">
        <v>12</v>
      </c>
      <c r="C11" s="4" t="s">
        <v>106</v>
      </c>
      <c r="D11" s="4" t="s">
        <v>13</v>
      </c>
      <c r="E11" s="4" t="s">
        <v>14</v>
      </c>
      <c r="F11" s="5" t="s">
        <v>107</v>
      </c>
      <c r="G11" s="4"/>
      <c r="H11" s="5" t="s">
        <v>124</v>
      </c>
      <c r="I11" s="4" t="s">
        <v>125</v>
      </c>
      <c r="J11" s="4" t="s">
        <v>7</v>
      </c>
      <c r="K11" s="4" t="s">
        <v>117</v>
      </c>
      <c r="L11" s="4" t="s">
        <v>111</v>
      </c>
      <c r="M11" s="5" t="s">
        <v>112</v>
      </c>
    </row>
    <row r="12" customFormat="false" ht="23.85" hidden="false" customHeight="false" outlineLevel="0" collapsed="false">
      <c r="A12" s="5" t="n">
        <v>8</v>
      </c>
      <c r="B12" s="4" t="s">
        <v>12</v>
      </c>
      <c r="C12" s="4" t="s">
        <v>106</v>
      </c>
      <c r="D12" s="4" t="s">
        <v>13</v>
      </c>
      <c r="E12" s="4" t="s">
        <v>14</v>
      </c>
      <c r="F12" s="5" t="s">
        <v>107</v>
      </c>
      <c r="G12" s="4"/>
      <c r="H12" s="5" t="s">
        <v>126</v>
      </c>
      <c r="I12" s="4" t="s">
        <v>127</v>
      </c>
      <c r="J12" s="4" t="s">
        <v>7</v>
      </c>
      <c r="K12" s="4" t="s">
        <v>128</v>
      </c>
      <c r="L12" s="4" t="s">
        <v>111</v>
      </c>
      <c r="M12" s="5" t="s">
        <v>112</v>
      </c>
    </row>
    <row r="13" customFormat="false" ht="23.85" hidden="false" customHeight="false" outlineLevel="0" collapsed="false">
      <c r="A13" s="5" t="n">
        <v>9</v>
      </c>
      <c r="B13" s="4" t="s">
        <v>12</v>
      </c>
      <c r="C13" s="4" t="s">
        <v>106</v>
      </c>
      <c r="D13" s="4" t="s">
        <v>13</v>
      </c>
      <c r="E13" s="4" t="s">
        <v>14</v>
      </c>
      <c r="F13" s="5" t="s">
        <v>107</v>
      </c>
      <c r="G13" s="4"/>
      <c r="H13" s="5" t="s">
        <v>129</v>
      </c>
      <c r="I13" s="4" t="s">
        <v>130</v>
      </c>
      <c r="J13" s="4" t="s">
        <v>7</v>
      </c>
      <c r="K13" s="4" t="s">
        <v>117</v>
      </c>
      <c r="L13" s="4" t="s">
        <v>111</v>
      </c>
      <c r="M13" s="5" t="s">
        <v>112</v>
      </c>
    </row>
    <row r="14" customFormat="false" ht="23.85" hidden="false" customHeight="false" outlineLevel="0" collapsed="false">
      <c r="A14" s="5" t="n">
        <v>10</v>
      </c>
      <c r="B14" s="4" t="s">
        <v>12</v>
      </c>
      <c r="C14" s="4" t="s">
        <v>106</v>
      </c>
      <c r="D14" s="4" t="s">
        <v>13</v>
      </c>
      <c r="E14" s="4" t="s">
        <v>14</v>
      </c>
      <c r="F14" s="5" t="s">
        <v>107</v>
      </c>
      <c r="G14" s="4"/>
      <c r="H14" s="5" t="s">
        <v>131</v>
      </c>
      <c r="I14" s="4" t="s">
        <v>132</v>
      </c>
      <c r="J14" s="4" t="s">
        <v>7</v>
      </c>
      <c r="K14" s="4" t="s">
        <v>133</v>
      </c>
      <c r="L14" s="4" t="s">
        <v>111</v>
      </c>
      <c r="M14" s="5" t="s">
        <v>112</v>
      </c>
    </row>
    <row r="15" customFormat="false" ht="23.85" hidden="false" customHeight="false" outlineLevel="0" collapsed="false">
      <c r="A15" s="5" t="n">
        <v>11</v>
      </c>
      <c r="B15" s="4" t="s">
        <v>12</v>
      </c>
      <c r="C15" s="4" t="s">
        <v>106</v>
      </c>
      <c r="D15" s="4" t="s">
        <v>13</v>
      </c>
      <c r="E15" s="4" t="s">
        <v>14</v>
      </c>
      <c r="F15" s="5" t="s">
        <v>107</v>
      </c>
      <c r="G15" s="4"/>
      <c r="H15" s="5" t="s">
        <v>134</v>
      </c>
      <c r="I15" s="4" t="s">
        <v>135</v>
      </c>
      <c r="J15" s="4" t="s">
        <v>7</v>
      </c>
      <c r="K15" s="4" t="s">
        <v>133</v>
      </c>
      <c r="L15" s="4" t="s">
        <v>111</v>
      </c>
      <c r="M15" s="5" t="s">
        <v>112</v>
      </c>
    </row>
    <row r="16" customFormat="false" ht="23.85" hidden="false" customHeight="false" outlineLevel="0" collapsed="false">
      <c r="A16" s="5" t="n">
        <v>12</v>
      </c>
      <c r="B16" s="4" t="s">
        <v>12</v>
      </c>
      <c r="C16" s="4" t="s">
        <v>106</v>
      </c>
      <c r="D16" s="4" t="s">
        <v>13</v>
      </c>
      <c r="E16" s="4" t="s">
        <v>14</v>
      </c>
      <c r="F16" s="5" t="s">
        <v>107</v>
      </c>
      <c r="G16" s="4"/>
      <c r="H16" s="5" t="s">
        <v>136</v>
      </c>
      <c r="I16" s="4" t="s">
        <v>137</v>
      </c>
      <c r="J16" s="4" t="s">
        <v>7</v>
      </c>
      <c r="K16" s="4" t="s">
        <v>138</v>
      </c>
      <c r="L16" s="4" t="s">
        <v>111</v>
      </c>
      <c r="M16" s="5" t="s">
        <v>112</v>
      </c>
    </row>
    <row r="17" customFormat="false" ht="23.85" hidden="false" customHeight="false" outlineLevel="0" collapsed="false">
      <c r="A17" s="5" t="n">
        <v>13</v>
      </c>
      <c r="B17" s="4" t="s">
        <v>12</v>
      </c>
      <c r="C17" s="4" t="s">
        <v>106</v>
      </c>
      <c r="D17" s="4" t="s">
        <v>13</v>
      </c>
      <c r="E17" s="4" t="s">
        <v>14</v>
      </c>
      <c r="F17" s="5" t="s">
        <v>107</v>
      </c>
      <c r="G17" s="4"/>
      <c r="H17" s="5" t="s">
        <v>139</v>
      </c>
      <c r="I17" s="4" t="s">
        <v>140</v>
      </c>
      <c r="J17" s="4" t="s">
        <v>7</v>
      </c>
      <c r="K17" s="4" t="s">
        <v>141</v>
      </c>
      <c r="L17" s="4" t="s">
        <v>111</v>
      </c>
      <c r="M17" s="5" t="s">
        <v>112</v>
      </c>
    </row>
    <row r="18" customFormat="false" ht="23.85" hidden="false" customHeight="false" outlineLevel="0" collapsed="false">
      <c r="A18" s="5" t="n">
        <v>14</v>
      </c>
      <c r="B18" s="4" t="s">
        <v>12</v>
      </c>
      <c r="C18" s="4" t="s">
        <v>106</v>
      </c>
      <c r="D18" s="4" t="s">
        <v>13</v>
      </c>
      <c r="E18" s="4" t="s">
        <v>14</v>
      </c>
      <c r="F18" s="5" t="s">
        <v>107</v>
      </c>
      <c r="G18" s="4"/>
      <c r="H18" s="5" t="s">
        <v>142</v>
      </c>
      <c r="I18" s="4" t="s">
        <v>143</v>
      </c>
      <c r="J18" s="4" t="s">
        <v>7</v>
      </c>
      <c r="K18" s="4" t="s">
        <v>133</v>
      </c>
      <c r="L18" s="4" t="s">
        <v>111</v>
      </c>
      <c r="M18" s="5" t="s">
        <v>112</v>
      </c>
    </row>
    <row r="19" customFormat="false" ht="23.85" hidden="false" customHeight="false" outlineLevel="0" collapsed="false">
      <c r="A19" s="5" t="n">
        <v>15</v>
      </c>
      <c r="B19" s="4" t="s">
        <v>12</v>
      </c>
      <c r="C19" s="4" t="s">
        <v>106</v>
      </c>
      <c r="D19" s="4" t="s">
        <v>13</v>
      </c>
      <c r="E19" s="4" t="s">
        <v>14</v>
      </c>
      <c r="F19" s="5" t="s">
        <v>107</v>
      </c>
      <c r="G19" s="4"/>
      <c r="H19" s="5" t="s">
        <v>144</v>
      </c>
      <c r="I19" s="4" t="s">
        <v>145</v>
      </c>
      <c r="J19" s="4" t="s">
        <v>7</v>
      </c>
      <c r="K19" s="4" t="s">
        <v>146</v>
      </c>
      <c r="L19" s="4" t="s">
        <v>111</v>
      </c>
      <c r="M19" s="5" t="s">
        <v>112</v>
      </c>
    </row>
    <row r="20" customFormat="false" ht="23.85" hidden="false" customHeight="false" outlineLevel="0" collapsed="false">
      <c r="A20" s="5" t="n">
        <v>16</v>
      </c>
      <c r="B20" s="4" t="s">
        <v>12</v>
      </c>
      <c r="C20" s="4" t="s">
        <v>106</v>
      </c>
      <c r="D20" s="4" t="s">
        <v>13</v>
      </c>
      <c r="E20" s="4" t="s">
        <v>14</v>
      </c>
      <c r="F20" s="5" t="s">
        <v>107</v>
      </c>
      <c r="G20" s="4"/>
      <c r="H20" s="5" t="s">
        <v>147</v>
      </c>
      <c r="I20" s="4" t="s">
        <v>148</v>
      </c>
      <c r="J20" s="4" t="s">
        <v>7</v>
      </c>
      <c r="K20" s="4" t="s">
        <v>149</v>
      </c>
      <c r="L20" s="4" t="s">
        <v>111</v>
      </c>
      <c r="M20" s="5" t="s">
        <v>112</v>
      </c>
    </row>
    <row r="21" customFormat="false" ht="23.85" hidden="false" customHeight="false" outlineLevel="0" collapsed="false">
      <c r="A21" s="5" t="n">
        <v>17</v>
      </c>
      <c r="B21" s="4" t="s">
        <v>12</v>
      </c>
      <c r="C21" s="4" t="s">
        <v>106</v>
      </c>
      <c r="D21" s="4" t="s">
        <v>13</v>
      </c>
      <c r="E21" s="4" t="s">
        <v>14</v>
      </c>
      <c r="F21" s="5" t="s">
        <v>107</v>
      </c>
      <c r="G21" s="4"/>
      <c r="H21" s="5" t="s">
        <v>150</v>
      </c>
      <c r="I21" s="4" t="s">
        <v>151</v>
      </c>
      <c r="J21" s="4" t="s">
        <v>7</v>
      </c>
      <c r="K21" s="4" t="s">
        <v>152</v>
      </c>
      <c r="L21" s="4" t="s">
        <v>111</v>
      </c>
      <c r="M21" s="5" t="s">
        <v>112</v>
      </c>
    </row>
    <row r="22" customFormat="false" ht="23.85" hidden="false" customHeight="false" outlineLevel="0" collapsed="false">
      <c r="A22" s="5" t="n">
        <v>18</v>
      </c>
      <c r="B22" s="4" t="s">
        <v>12</v>
      </c>
      <c r="C22" s="4" t="s">
        <v>106</v>
      </c>
      <c r="D22" s="4" t="s">
        <v>13</v>
      </c>
      <c r="E22" s="4" t="s">
        <v>14</v>
      </c>
      <c r="F22" s="5" t="s">
        <v>107</v>
      </c>
      <c r="G22" s="4"/>
      <c r="H22" s="5" t="s">
        <v>153</v>
      </c>
      <c r="I22" s="4" t="s">
        <v>154</v>
      </c>
      <c r="J22" s="4" t="s">
        <v>7</v>
      </c>
      <c r="K22" s="4" t="s">
        <v>152</v>
      </c>
      <c r="L22" s="4" t="s">
        <v>111</v>
      </c>
      <c r="M22" s="5" t="s">
        <v>112</v>
      </c>
    </row>
    <row r="23" customFormat="false" ht="23.85" hidden="false" customHeight="false" outlineLevel="0" collapsed="false">
      <c r="A23" s="5" t="n">
        <v>19</v>
      </c>
      <c r="B23" s="4" t="s">
        <v>12</v>
      </c>
      <c r="C23" s="4" t="s">
        <v>106</v>
      </c>
      <c r="D23" s="4" t="s">
        <v>13</v>
      </c>
      <c r="E23" s="4" t="s">
        <v>14</v>
      </c>
      <c r="F23" s="5" t="s">
        <v>107</v>
      </c>
      <c r="G23" s="4"/>
      <c r="H23" s="5" t="s">
        <v>155</v>
      </c>
      <c r="I23" s="4" t="s">
        <v>156</v>
      </c>
      <c r="J23" s="4" t="s">
        <v>7</v>
      </c>
      <c r="K23" s="4" t="s">
        <v>157</v>
      </c>
      <c r="L23" s="4" t="s">
        <v>111</v>
      </c>
      <c r="M23" s="5" t="s">
        <v>112</v>
      </c>
    </row>
    <row r="24" customFormat="false" ht="23.85" hidden="false" customHeight="false" outlineLevel="0" collapsed="false">
      <c r="A24" s="5" t="n">
        <v>20</v>
      </c>
      <c r="B24" s="4" t="s">
        <v>12</v>
      </c>
      <c r="C24" s="4" t="s">
        <v>106</v>
      </c>
      <c r="D24" s="4" t="s">
        <v>13</v>
      </c>
      <c r="E24" s="4" t="s">
        <v>14</v>
      </c>
      <c r="F24" s="5" t="s">
        <v>107</v>
      </c>
      <c r="G24" s="4"/>
      <c r="H24" s="5" t="s">
        <v>158</v>
      </c>
      <c r="I24" s="4" t="s">
        <v>159</v>
      </c>
      <c r="J24" s="4" t="s">
        <v>7</v>
      </c>
      <c r="K24" s="4" t="s">
        <v>152</v>
      </c>
      <c r="L24" s="4" t="s">
        <v>111</v>
      </c>
      <c r="M24" s="5" t="s">
        <v>112</v>
      </c>
    </row>
    <row r="25" customFormat="false" ht="23.85" hidden="false" customHeight="false" outlineLevel="0" collapsed="false">
      <c r="A25" s="5" t="n">
        <v>21</v>
      </c>
      <c r="B25" s="4" t="s">
        <v>12</v>
      </c>
      <c r="C25" s="4" t="s">
        <v>106</v>
      </c>
      <c r="D25" s="4" t="s">
        <v>13</v>
      </c>
      <c r="E25" s="4" t="s">
        <v>14</v>
      </c>
      <c r="F25" s="5" t="s">
        <v>107</v>
      </c>
      <c r="G25" s="4"/>
      <c r="H25" s="5" t="s">
        <v>160</v>
      </c>
      <c r="I25" s="4" t="s">
        <v>161</v>
      </c>
      <c r="J25" s="4" t="s">
        <v>162</v>
      </c>
      <c r="K25" s="4" t="s">
        <v>163</v>
      </c>
      <c r="L25" s="4" t="s">
        <v>164</v>
      </c>
      <c r="M25" s="5" t="s">
        <v>112</v>
      </c>
    </row>
    <row r="26" customFormat="false" ht="23.85" hidden="false" customHeight="false" outlineLevel="0" collapsed="false">
      <c r="A26" s="5" t="n">
        <v>22</v>
      </c>
      <c r="B26" s="4" t="s">
        <v>12</v>
      </c>
      <c r="C26" s="4" t="s">
        <v>106</v>
      </c>
      <c r="D26" s="4" t="s">
        <v>13</v>
      </c>
      <c r="E26" s="4" t="s">
        <v>14</v>
      </c>
      <c r="F26" s="5" t="s">
        <v>107</v>
      </c>
      <c r="G26" s="4"/>
      <c r="H26" s="5" t="s">
        <v>165</v>
      </c>
      <c r="I26" s="4" t="s">
        <v>166</v>
      </c>
      <c r="J26" s="4" t="s">
        <v>162</v>
      </c>
      <c r="K26" s="4" t="s">
        <v>167</v>
      </c>
      <c r="L26" s="4" t="s">
        <v>164</v>
      </c>
      <c r="M26" s="5" t="s">
        <v>112</v>
      </c>
    </row>
    <row r="27" customFormat="false" ht="23.85" hidden="false" customHeight="false" outlineLevel="0" collapsed="false">
      <c r="A27" s="5" t="n">
        <v>23</v>
      </c>
      <c r="B27" s="4" t="s">
        <v>12</v>
      </c>
      <c r="C27" s="4" t="s">
        <v>106</v>
      </c>
      <c r="D27" s="4" t="s">
        <v>13</v>
      </c>
      <c r="E27" s="4" t="s">
        <v>14</v>
      </c>
      <c r="F27" s="5" t="s">
        <v>107</v>
      </c>
      <c r="G27" s="4"/>
      <c r="H27" s="5" t="s">
        <v>168</v>
      </c>
      <c r="I27" s="4" t="s">
        <v>169</v>
      </c>
      <c r="J27" s="4" t="s">
        <v>162</v>
      </c>
      <c r="K27" s="4" t="s">
        <v>170</v>
      </c>
      <c r="L27" s="4" t="s">
        <v>164</v>
      </c>
      <c r="M27" s="5" t="s">
        <v>112</v>
      </c>
    </row>
    <row r="28" customFormat="false" ht="23.85" hidden="false" customHeight="false" outlineLevel="0" collapsed="false">
      <c r="A28" s="5" t="n">
        <v>24</v>
      </c>
      <c r="B28" s="4" t="s">
        <v>12</v>
      </c>
      <c r="C28" s="4" t="s">
        <v>106</v>
      </c>
      <c r="D28" s="4" t="s">
        <v>13</v>
      </c>
      <c r="E28" s="4" t="s">
        <v>14</v>
      </c>
      <c r="F28" s="5" t="s">
        <v>107</v>
      </c>
      <c r="G28" s="4"/>
      <c r="H28" s="5" t="s">
        <v>171</v>
      </c>
      <c r="I28" s="4" t="s">
        <v>172</v>
      </c>
      <c r="J28" s="4" t="s">
        <v>162</v>
      </c>
      <c r="K28" s="4" t="s">
        <v>173</v>
      </c>
      <c r="L28" s="4" t="s">
        <v>164</v>
      </c>
      <c r="M28" s="5" t="s">
        <v>112</v>
      </c>
    </row>
    <row r="29" customFormat="false" ht="23.85" hidden="false" customHeight="false" outlineLevel="0" collapsed="false">
      <c r="A29" s="5" t="n">
        <v>25</v>
      </c>
      <c r="B29" s="4" t="s">
        <v>12</v>
      </c>
      <c r="C29" s="4" t="s">
        <v>106</v>
      </c>
      <c r="D29" s="4" t="s">
        <v>13</v>
      </c>
      <c r="E29" s="4" t="s">
        <v>14</v>
      </c>
      <c r="F29" s="5" t="s">
        <v>107</v>
      </c>
      <c r="G29" s="4"/>
      <c r="H29" s="5" t="s">
        <v>174</v>
      </c>
      <c r="I29" s="4" t="s">
        <v>175</v>
      </c>
      <c r="J29" s="4" t="s">
        <v>162</v>
      </c>
      <c r="K29" s="4" t="s">
        <v>176</v>
      </c>
      <c r="L29" s="4" t="s">
        <v>164</v>
      </c>
      <c r="M29" s="5" t="s">
        <v>112</v>
      </c>
    </row>
    <row r="30" customFormat="false" ht="23.85" hidden="false" customHeight="false" outlineLevel="0" collapsed="false">
      <c r="A30" s="5" t="n">
        <v>26</v>
      </c>
      <c r="B30" s="4" t="s">
        <v>12</v>
      </c>
      <c r="C30" s="4" t="s">
        <v>106</v>
      </c>
      <c r="D30" s="4" t="s">
        <v>13</v>
      </c>
      <c r="E30" s="4" t="s">
        <v>14</v>
      </c>
      <c r="F30" s="5" t="s">
        <v>107</v>
      </c>
      <c r="G30" s="4"/>
      <c r="H30" s="5" t="s">
        <v>177</v>
      </c>
      <c r="I30" s="4" t="s">
        <v>178</v>
      </c>
      <c r="J30" s="4" t="s">
        <v>162</v>
      </c>
      <c r="K30" s="4" t="s">
        <v>179</v>
      </c>
      <c r="L30" s="4" t="s">
        <v>164</v>
      </c>
      <c r="M30" s="5" t="s">
        <v>112</v>
      </c>
    </row>
    <row r="31" customFormat="false" ht="23.85" hidden="false" customHeight="false" outlineLevel="0" collapsed="false">
      <c r="A31" s="5" t="n">
        <v>27</v>
      </c>
      <c r="B31" s="4" t="s">
        <v>12</v>
      </c>
      <c r="C31" s="4" t="s">
        <v>106</v>
      </c>
      <c r="D31" s="4" t="s">
        <v>13</v>
      </c>
      <c r="E31" s="4" t="s">
        <v>14</v>
      </c>
      <c r="F31" s="5" t="s">
        <v>107</v>
      </c>
      <c r="G31" s="4"/>
      <c r="H31" s="5" t="s">
        <v>180</v>
      </c>
      <c r="I31" s="4" t="s">
        <v>181</v>
      </c>
      <c r="J31" s="4" t="s">
        <v>162</v>
      </c>
      <c r="K31" s="4" t="s">
        <v>182</v>
      </c>
      <c r="L31" s="4" t="s">
        <v>164</v>
      </c>
      <c r="M31" s="5" t="s">
        <v>112</v>
      </c>
    </row>
    <row r="32" customFormat="false" ht="23.85" hidden="false" customHeight="false" outlineLevel="0" collapsed="false">
      <c r="A32" s="5" t="n">
        <v>28</v>
      </c>
      <c r="B32" s="4" t="s">
        <v>12</v>
      </c>
      <c r="C32" s="4" t="s">
        <v>106</v>
      </c>
      <c r="D32" s="4" t="s">
        <v>13</v>
      </c>
      <c r="E32" s="4" t="s">
        <v>14</v>
      </c>
      <c r="F32" s="5" t="s">
        <v>107</v>
      </c>
      <c r="G32" s="4"/>
      <c r="H32" s="5" t="s">
        <v>183</v>
      </c>
      <c r="I32" s="4" t="s">
        <v>184</v>
      </c>
      <c r="J32" s="4" t="s">
        <v>162</v>
      </c>
      <c r="K32" s="4" t="s">
        <v>185</v>
      </c>
      <c r="L32" s="4" t="s">
        <v>164</v>
      </c>
      <c r="M32" s="5" t="s">
        <v>112</v>
      </c>
    </row>
    <row r="33" customFormat="false" ht="23.85" hidden="false" customHeight="false" outlineLevel="0" collapsed="false">
      <c r="A33" s="5" t="n">
        <v>29</v>
      </c>
      <c r="B33" s="4" t="s">
        <v>12</v>
      </c>
      <c r="C33" s="4" t="s">
        <v>106</v>
      </c>
      <c r="D33" s="4" t="s">
        <v>13</v>
      </c>
      <c r="E33" s="4" t="s">
        <v>14</v>
      </c>
      <c r="F33" s="5" t="s">
        <v>107</v>
      </c>
      <c r="G33" s="4"/>
      <c r="H33" s="5" t="s">
        <v>186</v>
      </c>
      <c r="I33" s="4" t="s">
        <v>187</v>
      </c>
      <c r="J33" s="4" t="s">
        <v>162</v>
      </c>
      <c r="K33" s="4" t="s">
        <v>188</v>
      </c>
      <c r="L33" s="4" t="s">
        <v>164</v>
      </c>
      <c r="M33" s="5" t="s">
        <v>112</v>
      </c>
    </row>
    <row r="34" customFormat="false" ht="23.85" hidden="false" customHeight="false" outlineLevel="0" collapsed="false">
      <c r="A34" s="5" t="n">
        <v>30</v>
      </c>
      <c r="B34" s="4" t="s">
        <v>12</v>
      </c>
      <c r="C34" s="4" t="s">
        <v>106</v>
      </c>
      <c r="D34" s="4" t="s">
        <v>13</v>
      </c>
      <c r="E34" s="4" t="s">
        <v>14</v>
      </c>
      <c r="F34" s="5" t="s">
        <v>107</v>
      </c>
      <c r="G34" s="4"/>
      <c r="H34" s="5" t="s">
        <v>189</v>
      </c>
      <c r="I34" s="4" t="s">
        <v>190</v>
      </c>
      <c r="J34" s="4" t="s">
        <v>162</v>
      </c>
      <c r="K34" s="4" t="s">
        <v>191</v>
      </c>
      <c r="L34" s="4" t="s">
        <v>164</v>
      </c>
      <c r="M34" s="5" t="s">
        <v>112</v>
      </c>
    </row>
    <row r="35" customFormat="false" ht="23.85" hidden="false" customHeight="false" outlineLevel="0" collapsed="false">
      <c r="A35" s="5" t="n">
        <v>31</v>
      </c>
      <c r="B35" s="4" t="s">
        <v>12</v>
      </c>
      <c r="C35" s="4" t="s">
        <v>106</v>
      </c>
      <c r="D35" s="4" t="s">
        <v>13</v>
      </c>
      <c r="E35" s="4" t="s">
        <v>14</v>
      </c>
      <c r="F35" s="5" t="s">
        <v>107</v>
      </c>
      <c r="G35" s="4"/>
      <c r="H35" s="5" t="s">
        <v>192</v>
      </c>
      <c r="I35" s="4" t="s">
        <v>193</v>
      </c>
      <c r="J35" s="4" t="s">
        <v>162</v>
      </c>
      <c r="K35" s="4" t="s">
        <v>194</v>
      </c>
      <c r="L35" s="4" t="s">
        <v>195</v>
      </c>
      <c r="M35" s="5" t="s">
        <v>112</v>
      </c>
    </row>
    <row r="36" customFormat="false" ht="23.85" hidden="false" customHeight="false" outlineLevel="0" collapsed="false">
      <c r="A36" s="5" t="n">
        <v>32</v>
      </c>
      <c r="B36" s="4" t="s">
        <v>12</v>
      </c>
      <c r="C36" s="4" t="s">
        <v>106</v>
      </c>
      <c r="D36" s="4" t="s">
        <v>13</v>
      </c>
      <c r="E36" s="4" t="s">
        <v>14</v>
      </c>
      <c r="F36" s="5" t="s">
        <v>107</v>
      </c>
      <c r="G36" s="4"/>
      <c r="H36" s="5" t="s">
        <v>196</v>
      </c>
      <c r="I36" s="4" t="s">
        <v>197</v>
      </c>
      <c r="J36" s="4" t="s">
        <v>162</v>
      </c>
      <c r="K36" s="4" t="s">
        <v>198</v>
      </c>
      <c r="L36" s="4" t="s">
        <v>195</v>
      </c>
      <c r="M36" s="5" t="s">
        <v>112</v>
      </c>
    </row>
    <row r="37" customFormat="false" ht="23.85" hidden="false" customHeight="false" outlineLevel="0" collapsed="false">
      <c r="A37" s="5" t="n">
        <v>33</v>
      </c>
      <c r="B37" s="4" t="s">
        <v>12</v>
      </c>
      <c r="C37" s="4" t="s">
        <v>106</v>
      </c>
      <c r="D37" s="4" t="s">
        <v>13</v>
      </c>
      <c r="E37" s="4" t="s">
        <v>14</v>
      </c>
      <c r="F37" s="5" t="s">
        <v>107</v>
      </c>
      <c r="G37" s="4"/>
      <c r="H37" s="5" t="s">
        <v>199</v>
      </c>
      <c r="I37" s="4" t="s">
        <v>200</v>
      </c>
      <c r="J37" s="4" t="s">
        <v>162</v>
      </c>
      <c r="K37" s="4" t="s">
        <v>201</v>
      </c>
      <c r="L37" s="4" t="s">
        <v>195</v>
      </c>
      <c r="M37" s="5" t="s">
        <v>112</v>
      </c>
    </row>
    <row r="38" customFormat="false" ht="57.45" hidden="false" customHeight="false" outlineLevel="0" collapsed="false">
      <c r="A38" s="5" t="n">
        <v>34</v>
      </c>
      <c r="B38" s="4" t="s">
        <v>12</v>
      </c>
      <c r="C38" s="4" t="s">
        <v>106</v>
      </c>
      <c r="D38" s="4" t="s">
        <v>13</v>
      </c>
      <c r="E38" s="4" t="s">
        <v>14</v>
      </c>
      <c r="F38" s="5" t="s">
        <v>107</v>
      </c>
      <c r="G38" s="4"/>
      <c r="H38" s="5" t="s">
        <v>202</v>
      </c>
      <c r="I38" s="4" t="s">
        <v>203</v>
      </c>
      <c r="J38" s="4" t="s">
        <v>9</v>
      </c>
      <c r="K38" s="4" t="s">
        <v>204</v>
      </c>
      <c r="L38" s="4" t="s">
        <v>111</v>
      </c>
      <c r="M38" s="5" t="s">
        <v>205</v>
      </c>
    </row>
    <row r="39" customFormat="false" ht="23.85" hidden="false" customHeight="false" outlineLevel="0" collapsed="false">
      <c r="A39" s="5" t="n">
        <v>35</v>
      </c>
      <c r="B39" s="4" t="s">
        <v>12</v>
      </c>
      <c r="C39" s="4" t="s">
        <v>106</v>
      </c>
      <c r="D39" s="4" t="s">
        <v>13</v>
      </c>
      <c r="E39" s="4" t="s">
        <v>14</v>
      </c>
      <c r="F39" s="5" t="s">
        <v>107</v>
      </c>
      <c r="G39" s="4"/>
      <c r="H39" s="5" t="s">
        <v>206</v>
      </c>
      <c r="I39" s="4" t="s">
        <v>207</v>
      </c>
      <c r="J39" s="4" t="s">
        <v>9</v>
      </c>
      <c r="K39" s="4" t="s">
        <v>208</v>
      </c>
      <c r="L39" s="4" t="s">
        <v>111</v>
      </c>
      <c r="M39" s="5" t="s">
        <v>205</v>
      </c>
    </row>
    <row r="40" customFormat="false" ht="35.05" hidden="false" customHeight="false" outlineLevel="0" collapsed="false">
      <c r="A40" s="5" t="n">
        <v>36</v>
      </c>
      <c r="B40" s="4" t="s">
        <v>12</v>
      </c>
      <c r="C40" s="4" t="s">
        <v>106</v>
      </c>
      <c r="D40" s="4" t="s">
        <v>13</v>
      </c>
      <c r="E40" s="4" t="s">
        <v>14</v>
      </c>
      <c r="F40" s="5" t="s">
        <v>107</v>
      </c>
      <c r="G40" s="4"/>
      <c r="H40" s="5" t="s">
        <v>209</v>
      </c>
      <c r="I40" s="4" t="s">
        <v>210</v>
      </c>
      <c r="J40" s="4" t="s">
        <v>9</v>
      </c>
      <c r="K40" s="4" t="s">
        <v>211</v>
      </c>
      <c r="L40" s="4" t="s">
        <v>111</v>
      </c>
      <c r="M40" s="5" t="s">
        <v>205</v>
      </c>
    </row>
    <row r="41" customFormat="false" ht="35.05" hidden="false" customHeight="false" outlineLevel="0" collapsed="false">
      <c r="A41" s="5" t="n">
        <v>37</v>
      </c>
      <c r="B41" s="4" t="s">
        <v>12</v>
      </c>
      <c r="C41" s="4" t="s">
        <v>106</v>
      </c>
      <c r="D41" s="4" t="s">
        <v>13</v>
      </c>
      <c r="E41" s="4" t="s">
        <v>14</v>
      </c>
      <c r="F41" s="5" t="s">
        <v>107</v>
      </c>
      <c r="G41" s="4"/>
      <c r="H41" s="5" t="s">
        <v>212</v>
      </c>
      <c r="I41" s="4" t="s">
        <v>213</v>
      </c>
      <c r="J41" s="4" t="s">
        <v>9</v>
      </c>
      <c r="K41" s="4" t="s">
        <v>214</v>
      </c>
      <c r="L41" s="4" t="s">
        <v>111</v>
      </c>
      <c r="M41" s="5" t="s">
        <v>205</v>
      </c>
    </row>
    <row r="42" customFormat="false" ht="23.85" hidden="false" customHeight="false" outlineLevel="0" collapsed="false">
      <c r="A42" s="5" t="n">
        <v>38</v>
      </c>
      <c r="B42" s="4" t="s">
        <v>12</v>
      </c>
      <c r="C42" s="4" t="s">
        <v>106</v>
      </c>
      <c r="D42" s="4" t="s">
        <v>13</v>
      </c>
      <c r="E42" s="4" t="s">
        <v>14</v>
      </c>
      <c r="F42" s="5" t="s">
        <v>107</v>
      </c>
      <c r="G42" s="4"/>
      <c r="H42" s="5" t="s">
        <v>215</v>
      </c>
      <c r="I42" s="4" t="s">
        <v>216</v>
      </c>
      <c r="J42" s="4" t="s">
        <v>9</v>
      </c>
      <c r="K42" s="4" t="s">
        <v>217</v>
      </c>
      <c r="L42" s="4" t="s">
        <v>111</v>
      </c>
      <c r="M42" s="5" t="s">
        <v>205</v>
      </c>
    </row>
    <row r="43" customFormat="false" ht="35.05" hidden="false" customHeight="false" outlineLevel="0" collapsed="false">
      <c r="A43" s="5" t="n">
        <v>39</v>
      </c>
      <c r="B43" s="4" t="s">
        <v>12</v>
      </c>
      <c r="C43" s="4" t="s">
        <v>106</v>
      </c>
      <c r="D43" s="4" t="s">
        <v>13</v>
      </c>
      <c r="E43" s="4" t="s">
        <v>14</v>
      </c>
      <c r="F43" s="5" t="s">
        <v>107</v>
      </c>
      <c r="G43" s="4"/>
      <c r="H43" s="5" t="s">
        <v>218</v>
      </c>
      <c r="I43" s="4" t="s">
        <v>219</v>
      </c>
      <c r="J43" s="4" t="s">
        <v>9</v>
      </c>
      <c r="K43" s="4" t="s">
        <v>220</v>
      </c>
      <c r="L43" s="4" t="s">
        <v>111</v>
      </c>
      <c r="M43" s="5" t="s">
        <v>205</v>
      </c>
    </row>
    <row r="44" customFormat="false" ht="35.05" hidden="false" customHeight="false" outlineLevel="0" collapsed="false">
      <c r="A44" s="5" t="n">
        <v>40</v>
      </c>
      <c r="B44" s="4" t="s">
        <v>12</v>
      </c>
      <c r="C44" s="4" t="s">
        <v>106</v>
      </c>
      <c r="D44" s="4" t="s">
        <v>13</v>
      </c>
      <c r="E44" s="4" t="s">
        <v>14</v>
      </c>
      <c r="F44" s="5" t="s">
        <v>107</v>
      </c>
      <c r="G44" s="4"/>
      <c r="H44" s="5" t="s">
        <v>221</v>
      </c>
      <c r="I44" s="4" t="s">
        <v>222</v>
      </c>
      <c r="J44" s="4" t="s">
        <v>9</v>
      </c>
      <c r="K44" s="4" t="s">
        <v>223</v>
      </c>
      <c r="L44" s="4" t="s">
        <v>111</v>
      </c>
      <c r="M44" s="5" t="s">
        <v>205</v>
      </c>
    </row>
    <row r="45" customFormat="false" ht="23.85" hidden="false" customHeight="false" outlineLevel="0" collapsed="false">
      <c r="A45" s="5" t="n">
        <v>41</v>
      </c>
      <c r="B45" s="4" t="s">
        <v>12</v>
      </c>
      <c r="C45" s="4" t="s">
        <v>106</v>
      </c>
      <c r="D45" s="4" t="s">
        <v>15</v>
      </c>
      <c r="E45" s="4" t="s">
        <v>16</v>
      </c>
      <c r="F45" s="5" t="s">
        <v>224</v>
      </c>
      <c r="G45" s="4" t="s">
        <v>17</v>
      </c>
      <c r="H45" s="5" t="s">
        <v>108</v>
      </c>
      <c r="I45" s="4" t="s">
        <v>225</v>
      </c>
      <c r="J45" s="4" t="s">
        <v>7</v>
      </c>
      <c r="K45" s="4" t="s">
        <v>110</v>
      </c>
      <c r="L45" s="4" t="s">
        <v>111</v>
      </c>
      <c r="M45" s="5" t="s">
        <v>112</v>
      </c>
    </row>
    <row r="46" customFormat="false" ht="23.85" hidden="false" customHeight="false" outlineLevel="0" collapsed="false">
      <c r="A46" s="5" t="n">
        <v>42</v>
      </c>
      <c r="B46" s="4" t="s">
        <v>12</v>
      </c>
      <c r="C46" s="4" t="s">
        <v>106</v>
      </c>
      <c r="D46" s="4" t="s">
        <v>15</v>
      </c>
      <c r="E46" s="4" t="s">
        <v>16</v>
      </c>
      <c r="F46" s="5" t="s">
        <v>224</v>
      </c>
      <c r="G46" s="4" t="s">
        <v>17</v>
      </c>
      <c r="H46" s="5" t="s">
        <v>113</v>
      </c>
      <c r="I46" s="4" t="s">
        <v>226</v>
      </c>
      <c r="J46" s="4" t="s">
        <v>7</v>
      </c>
      <c r="K46" s="4" t="s">
        <v>110</v>
      </c>
      <c r="L46" s="4" t="s">
        <v>111</v>
      </c>
      <c r="M46" s="5" t="s">
        <v>112</v>
      </c>
    </row>
    <row r="47" customFormat="false" ht="23.85" hidden="false" customHeight="false" outlineLevel="0" collapsed="false">
      <c r="A47" s="5" t="n">
        <v>43</v>
      </c>
      <c r="B47" s="4" t="s">
        <v>12</v>
      </c>
      <c r="C47" s="4" t="s">
        <v>106</v>
      </c>
      <c r="D47" s="4" t="s">
        <v>15</v>
      </c>
      <c r="E47" s="4" t="s">
        <v>16</v>
      </c>
      <c r="F47" s="5" t="s">
        <v>224</v>
      </c>
      <c r="G47" s="4" t="s">
        <v>17</v>
      </c>
      <c r="H47" s="5" t="s">
        <v>115</v>
      </c>
      <c r="I47" s="4" t="s">
        <v>227</v>
      </c>
      <c r="J47" s="4" t="s">
        <v>7</v>
      </c>
      <c r="K47" s="4" t="s">
        <v>110</v>
      </c>
      <c r="L47" s="4" t="s">
        <v>111</v>
      </c>
      <c r="M47" s="5" t="s">
        <v>112</v>
      </c>
    </row>
    <row r="48" customFormat="false" ht="23.85" hidden="false" customHeight="false" outlineLevel="0" collapsed="false">
      <c r="A48" s="5" t="n">
        <v>44</v>
      </c>
      <c r="B48" s="4" t="s">
        <v>12</v>
      </c>
      <c r="C48" s="4" t="s">
        <v>106</v>
      </c>
      <c r="D48" s="4" t="s">
        <v>15</v>
      </c>
      <c r="E48" s="4" t="s">
        <v>16</v>
      </c>
      <c r="F48" s="5" t="s">
        <v>224</v>
      </c>
      <c r="G48" s="4" t="s">
        <v>17</v>
      </c>
      <c r="H48" s="5" t="s">
        <v>118</v>
      </c>
      <c r="I48" s="4" t="s">
        <v>228</v>
      </c>
      <c r="J48" s="4" t="s">
        <v>7</v>
      </c>
      <c r="K48" s="4" t="s">
        <v>110</v>
      </c>
      <c r="L48" s="4" t="s">
        <v>111</v>
      </c>
      <c r="M48" s="5" t="s">
        <v>112</v>
      </c>
    </row>
    <row r="49" customFormat="false" ht="23.85" hidden="false" customHeight="false" outlineLevel="0" collapsed="false">
      <c r="A49" s="5" t="n">
        <v>45</v>
      </c>
      <c r="B49" s="4" t="s">
        <v>12</v>
      </c>
      <c r="C49" s="4" t="s">
        <v>106</v>
      </c>
      <c r="D49" s="4" t="s">
        <v>15</v>
      </c>
      <c r="E49" s="4" t="s">
        <v>16</v>
      </c>
      <c r="F49" s="5" t="s">
        <v>224</v>
      </c>
      <c r="G49" s="4" t="s">
        <v>17</v>
      </c>
      <c r="H49" s="5" t="s">
        <v>120</v>
      </c>
      <c r="I49" s="4" t="s">
        <v>229</v>
      </c>
      <c r="J49" s="4" t="s">
        <v>7</v>
      </c>
      <c r="K49" s="4" t="s">
        <v>230</v>
      </c>
      <c r="L49" s="4" t="s">
        <v>111</v>
      </c>
      <c r="M49" s="5" t="s">
        <v>112</v>
      </c>
    </row>
    <row r="50" customFormat="false" ht="23.85" hidden="false" customHeight="false" outlineLevel="0" collapsed="false">
      <c r="A50" s="5" t="n">
        <v>46</v>
      </c>
      <c r="B50" s="4" t="s">
        <v>12</v>
      </c>
      <c r="C50" s="4" t="s">
        <v>106</v>
      </c>
      <c r="D50" s="4" t="s">
        <v>15</v>
      </c>
      <c r="E50" s="4" t="s">
        <v>16</v>
      </c>
      <c r="F50" s="5" t="s">
        <v>224</v>
      </c>
      <c r="G50" s="4" t="s">
        <v>17</v>
      </c>
      <c r="H50" s="5" t="s">
        <v>122</v>
      </c>
      <c r="I50" s="4" t="s">
        <v>231</v>
      </c>
      <c r="J50" s="4" t="s">
        <v>7</v>
      </c>
      <c r="K50" s="4" t="s">
        <v>110</v>
      </c>
      <c r="L50" s="4" t="s">
        <v>111</v>
      </c>
      <c r="M50" s="5" t="s">
        <v>112</v>
      </c>
    </row>
    <row r="51" customFormat="false" ht="23.85" hidden="false" customHeight="false" outlineLevel="0" collapsed="false">
      <c r="A51" s="5" t="n">
        <v>47</v>
      </c>
      <c r="B51" s="4" t="s">
        <v>12</v>
      </c>
      <c r="C51" s="4" t="s">
        <v>106</v>
      </c>
      <c r="D51" s="4" t="s">
        <v>15</v>
      </c>
      <c r="E51" s="4" t="s">
        <v>16</v>
      </c>
      <c r="F51" s="5" t="s">
        <v>224</v>
      </c>
      <c r="G51" s="4" t="s">
        <v>17</v>
      </c>
      <c r="H51" s="5" t="s">
        <v>124</v>
      </c>
      <c r="I51" s="4" t="s">
        <v>232</v>
      </c>
      <c r="J51" s="4" t="s">
        <v>7</v>
      </c>
      <c r="K51" s="4" t="s">
        <v>230</v>
      </c>
      <c r="L51" s="4" t="s">
        <v>111</v>
      </c>
      <c r="M51" s="5" t="s">
        <v>112</v>
      </c>
    </row>
    <row r="52" customFormat="false" ht="23.85" hidden="false" customHeight="false" outlineLevel="0" collapsed="false">
      <c r="A52" s="5" t="n">
        <v>48</v>
      </c>
      <c r="B52" s="4" t="s">
        <v>12</v>
      </c>
      <c r="C52" s="4" t="s">
        <v>106</v>
      </c>
      <c r="D52" s="4" t="s">
        <v>15</v>
      </c>
      <c r="E52" s="4" t="s">
        <v>16</v>
      </c>
      <c r="F52" s="5" t="s">
        <v>224</v>
      </c>
      <c r="G52" s="4" t="s">
        <v>17</v>
      </c>
      <c r="H52" s="5" t="s">
        <v>126</v>
      </c>
      <c r="I52" s="4" t="s">
        <v>233</v>
      </c>
      <c r="J52" s="4" t="s">
        <v>7</v>
      </c>
      <c r="K52" s="4" t="s">
        <v>110</v>
      </c>
      <c r="L52" s="4" t="s">
        <v>111</v>
      </c>
      <c r="M52" s="5" t="s">
        <v>112</v>
      </c>
    </row>
    <row r="53" customFormat="false" ht="23.85" hidden="false" customHeight="false" outlineLevel="0" collapsed="false">
      <c r="A53" s="5" t="n">
        <v>49</v>
      </c>
      <c r="B53" s="4" t="s">
        <v>12</v>
      </c>
      <c r="C53" s="4" t="s">
        <v>106</v>
      </c>
      <c r="D53" s="4" t="s">
        <v>15</v>
      </c>
      <c r="E53" s="4" t="s">
        <v>16</v>
      </c>
      <c r="F53" s="5" t="s">
        <v>224</v>
      </c>
      <c r="G53" s="4" t="s">
        <v>17</v>
      </c>
      <c r="H53" s="5" t="s">
        <v>129</v>
      </c>
      <c r="I53" s="4" t="s">
        <v>234</v>
      </c>
      <c r="J53" s="4" t="s">
        <v>7</v>
      </c>
      <c r="K53" s="4" t="s">
        <v>110</v>
      </c>
      <c r="L53" s="4" t="s">
        <v>111</v>
      </c>
      <c r="M53" s="5" t="s">
        <v>112</v>
      </c>
    </row>
    <row r="54" customFormat="false" ht="23.85" hidden="false" customHeight="false" outlineLevel="0" collapsed="false">
      <c r="A54" s="5" t="n">
        <v>50</v>
      </c>
      <c r="B54" s="4" t="s">
        <v>12</v>
      </c>
      <c r="C54" s="4" t="s">
        <v>106</v>
      </c>
      <c r="D54" s="4" t="s">
        <v>15</v>
      </c>
      <c r="E54" s="4" t="s">
        <v>16</v>
      </c>
      <c r="F54" s="5" t="s">
        <v>224</v>
      </c>
      <c r="G54" s="4" t="s">
        <v>17</v>
      </c>
      <c r="H54" s="5" t="s">
        <v>131</v>
      </c>
      <c r="I54" s="4" t="s">
        <v>235</v>
      </c>
      <c r="J54" s="4" t="s">
        <v>7</v>
      </c>
      <c r="K54" s="4" t="s">
        <v>128</v>
      </c>
      <c r="L54" s="4" t="s">
        <v>111</v>
      </c>
      <c r="M54" s="5" t="s">
        <v>112</v>
      </c>
    </row>
    <row r="55" customFormat="false" ht="23.85" hidden="false" customHeight="false" outlineLevel="0" collapsed="false">
      <c r="A55" s="5" t="n">
        <v>51</v>
      </c>
      <c r="B55" s="4" t="s">
        <v>12</v>
      </c>
      <c r="C55" s="4" t="s">
        <v>106</v>
      </c>
      <c r="D55" s="4" t="s">
        <v>15</v>
      </c>
      <c r="E55" s="4" t="s">
        <v>16</v>
      </c>
      <c r="F55" s="5" t="s">
        <v>224</v>
      </c>
      <c r="G55" s="4" t="s">
        <v>17</v>
      </c>
      <c r="H55" s="5" t="s">
        <v>134</v>
      </c>
      <c r="I55" s="4" t="s">
        <v>236</v>
      </c>
      <c r="J55" s="4" t="s">
        <v>7</v>
      </c>
      <c r="K55" s="4" t="s">
        <v>128</v>
      </c>
      <c r="L55" s="4" t="s">
        <v>111</v>
      </c>
      <c r="M55" s="5" t="s">
        <v>112</v>
      </c>
    </row>
    <row r="56" customFormat="false" ht="23.85" hidden="false" customHeight="false" outlineLevel="0" collapsed="false">
      <c r="A56" s="5" t="n">
        <v>52</v>
      </c>
      <c r="B56" s="4" t="s">
        <v>12</v>
      </c>
      <c r="C56" s="4" t="s">
        <v>106</v>
      </c>
      <c r="D56" s="4" t="s">
        <v>15</v>
      </c>
      <c r="E56" s="4" t="s">
        <v>16</v>
      </c>
      <c r="F56" s="5" t="s">
        <v>224</v>
      </c>
      <c r="G56" s="4" t="s">
        <v>17</v>
      </c>
      <c r="H56" s="5" t="s">
        <v>136</v>
      </c>
      <c r="I56" s="4" t="s">
        <v>237</v>
      </c>
      <c r="J56" s="4" t="s">
        <v>7</v>
      </c>
      <c r="K56" s="4" t="s">
        <v>128</v>
      </c>
      <c r="L56" s="4" t="s">
        <v>111</v>
      </c>
      <c r="M56" s="5" t="s">
        <v>112</v>
      </c>
    </row>
    <row r="57" customFormat="false" ht="23.85" hidden="false" customHeight="false" outlineLevel="0" collapsed="false">
      <c r="A57" s="5" t="n">
        <v>53</v>
      </c>
      <c r="B57" s="4" t="s">
        <v>12</v>
      </c>
      <c r="C57" s="4" t="s">
        <v>106</v>
      </c>
      <c r="D57" s="4" t="s">
        <v>15</v>
      </c>
      <c r="E57" s="4" t="s">
        <v>16</v>
      </c>
      <c r="F57" s="5" t="s">
        <v>224</v>
      </c>
      <c r="G57" s="4" t="s">
        <v>17</v>
      </c>
      <c r="H57" s="5" t="s">
        <v>139</v>
      </c>
      <c r="I57" s="4" t="s">
        <v>238</v>
      </c>
      <c r="J57" s="4" t="s">
        <v>7</v>
      </c>
      <c r="K57" s="4" t="s">
        <v>128</v>
      </c>
      <c r="L57" s="4" t="s">
        <v>111</v>
      </c>
      <c r="M57" s="5" t="s">
        <v>112</v>
      </c>
    </row>
    <row r="58" customFormat="false" ht="23.85" hidden="false" customHeight="false" outlineLevel="0" collapsed="false">
      <c r="A58" s="5" t="n">
        <v>54</v>
      </c>
      <c r="B58" s="4" t="s">
        <v>12</v>
      </c>
      <c r="C58" s="4" t="s">
        <v>106</v>
      </c>
      <c r="D58" s="4" t="s">
        <v>15</v>
      </c>
      <c r="E58" s="4" t="s">
        <v>16</v>
      </c>
      <c r="F58" s="5" t="s">
        <v>224</v>
      </c>
      <c r="G58" s="4" t="s">
        <v>17</v>
      </c>
      <c r="H58" s="5" t="s">
        <v>142</v>
      </c>
      <c r="I58" s="4" t="s">
        <v>239</v>
      </c>
      <c r="J58" s="4" t="s">
        <v>162</v>
      </c>
      <c r="K58" s="4" t="s">
        <v>240</v>
      </c>
      <c r="L58" s="4" t="s">
        <v>164</v>
      </c>
      <c r="M58" s="5" t="s">
        <v>112</v>
      </c>
    </row>
    <row r="59" customFormat="false" ht="46.25" hidden="false" customHeight="false" outlineLevel="0" collapsed="false">
      <c r="A59" s="5" t="n">
        <v>55</v>
      </c>
      <c r="B59" s="4" t="s">
        <v>12</v>
      </c>
      <c r="C59" s="4" t="s">
        <v>106</v>
      </c>
      <c r="D59" s="4" t="s">
        <v>15</v>
      </c>
      <c r="E59" s="4" t="s">
        <v>16</v>
      </c>
      <c r="F59" s="5" t="s">
        <v>224</v>
      </c>
      <c r="G59" s="4" t="s">
        <v>17</v>
      </c>
      <c r="H59" s="5" t="s">
        <v>202</v>
      </c>
      <c r="I59" s="4" t="s">
        <v>241</v>
      </c>
      <c r="J59" s="4" t="s">
        <v>9</v>
      </c>
      <c r="K59" s="4" t="s">
        <v>242</v>
      </c>
      <c r="L59" s="4" t="s">
        <v>111</v>
      </c>
      <c r="M59" s="5" t="s">
        <v>205</v>
      </c>
    </row>
    <row r="60" customFormat="false" ht="23.85" hidden="false" customHeight="false" outlineLevel="0" collapsed="false">
      <c r="A60" s="5" t="n">
        <v>56</v>
      </c>
      <c r="B60" s="4" t="s">
        <v>12</v>
      </c>
      <c r="C60" s="4" t="s">
        <v>106</v>
      </c>
      <c r="D60" s="4" t="s">
        <v>18</v>
      </c>
      <c r="E60" s="4" t="s">
        <v>19</v>
      </c>
      <c r="F60" s="5" t="s">
        <v>243</v>
      </c>
      <c r="G60" s="4"/>
      <c r="H60" s="5" t="s">
        <v>108</v>
      </c>
      <c r="I60" s="4" t="s">
        <v>244</v>
      </c>
      <c r="J60" s="4" t="s">
        <v>7</v>
      </c>
      <c r="K60" s="4" t="s">
        <v>245</v>
      </c>
      <c r="L60" s="4" t="s">
        <v>111</v>
      </c>
      <c r="M60" s="5" t="s">
        <v>112</v>
      </c>
    </row>
    <row r="61" customFormat="false" ht="23.85" hidden="false" customHeight="false" outlineLevel="0" collapsed="false">
      <c r="A61" s="5" t="n">
        <v>57</v>
      </c>
      <c r="B61" s="4" t="s">
        <v>12</v>
      </c>
      <c r="C61" s="4" t="s">
        <v>106</v>
      </c>
      <c r="D61" s="4" t="s">
        <v>18</v>
      </c>
      <c r="E61" s="4" t="s">
        <v>19</v>
      </c>
      <c r="F61" s="5" t="s">
        <v>243</v>
      </c>
      <c r="G61" s="4"/>
      <c r="H61" s="5" t="s">
        <v>113</v>
      </c>
      <c r="I61" s="4" t="s">
        <v>246</v>
      </c>
      <c r="J61" s="4" t="s">
        <v>7</v>
      </c>
      <c r="K61" s="4" t="s">
        <v>245</v>
      </c>
      <c r="L61" s="4" t="s">
        <v>111</v>
      </c>
      <c r="M61" s="5" t="s">
        <v>112</v>
      </c>
    </row>
    <row r="62" customFormat="false" ht="23.85" hidden="false" customHeight="false" outlineLevel="0" collapsed="false">
      <c r="A62" s="5" t="n">
        <v>58</v>
      </c>
      <c r="B62" s="4" t="s">
        <v>12</v>
      </c>
      <c r="C62" s="4" t="s">
        <v>106</v>
      </c>
      <c r="D62" s="4" t="s">
        <v>18</v>
      </c>
      <c r="E62" s="4" t="s">
        <v>19</v>
      </c>
      <c r="F62" s="5" t="s">
        <v>243</v>
      </c>
      <c r="G62" s="4"/>
      <c r="H62" s="5" t="s">
        <v>115</v>
      </c>
      <c r="I62" s="4" t="s">
        <v>247</v>
      </c>
      <c r="J62" s="4" t="s">
        <v>7</v>
      </c>
      <c r="K62" s="4" t="s">
        <v>245</v>
      </c>
      <c r="L62" s="4" t="s">
        <v>111</v>
      </c>
      <c r="M62" s="5" t="s">
        <v>112</v>
      </c>
    </row>
    <row r="63" customFormat="false" ht="23.85" hidden="false" customHeight="false" outlineLevel="0" collapsed="false">
      <c r="A63" s="5" t="n">
        <v>59</v>
      </c>
      <c r="B63" s="4" t="s">
        <v>12</v>
      </c>
      <c r="C63" s="4" t="s">
        <v>106</v>
      </c>
      <c r="D63" s="4" t="s">
        <v>18</v>
      </c>
      <c r="E63" s="4" t="s">
        <v>19</v>
      </c>
      <c r="F63" s="5" t="s">
        <v>243</v>
      </c>
      <c r="G63" s="4"/>
      <c r="H63" s="5" t="s">
        <v>118</v>
      </c>
      <c r="I63" s="4" t="s">
        <v>248</v>
      </c>
      <c r="J63" s="4" t="s">
        <v>7</v>
      </c>
      <c r="K63" s="4" t="s">
        <v>245</v>
      </c>
      <c r="L63" s="4" t="s">
        <v>111</v>
      </c>
      <c r="M63" s="5" t="s">
        <v>112</v>
      </c>
    </row>
    <row r="64" customFormat="false" ht="23.85" hidden="false" customHeight="false" outlineLevel="0" collapsed="false">
      <c r="A64" s="5" t="n">
        <v>60</v>
      </c>
      <c r="B64" s="4" t="s">
        <v>12</v>
      </c>
      <c r="C64" s="4" t="s">
        <v>106</v>
      </c>
      <c r="D64" s="4" t="s">
        <v>18</v>
      </c>
      <c r="E64" s="4" t="s">
        <v>19</v>
      </c>
      <c r="F64" s="5" t="s">
        <v>243</v>
      </c>
      <c r="G64" s="4"/>
      <c r="H64" s="5" t="s">
        <v>120</v>
      </c>
      <c r="I64" s="4" t="s">
        <v>249</v>
      </c>
      <c r="J64" s="4" t="s">
        <v>7</v>
      </c>
      <c r="K64" s="4" t="s">
        <v>157</v>
      </c>
      <c r="L64" s="4" t="s">
        <v>111</v>
      </c>
      <c r="M64" s="5" t="s">
        <v>112</v>
      </c>
    </row>
    <row r="65" customFormat="false" ht="23.85" hidden="false" customHeight="false" outlineLevel="0" collapsed="false">
      <c r="A65" s="5" t="n">
        <v>61</v>
      </c>
      <c r="B65" s="4" t="s">
        <v>12</v>
      </c>
      <c r="C65" s="4" t="s">
        <v>106</v>
      </c>
      <c r="D65" s="4" t="s">
        <v>18</v>
      </c>
      <c r="E65" s="4" t="s">
        <v>19</v>
      </c>
      <c r="F65" s="5" t="s">
        <v>243</v>
      </c>
      <c r="G65" s="4"/>
      <c r="H65" s="5" t="s">
        <v>122</v>
      </c>
      <c r="I65" s="4" t="s">
        <v>250</v>
      </c>
      <c r="J65" s="4" t="s">
        <v>7</v>
      </c>
      <c r="K65" s="4" t="s">
        <v>251</v>
      </c>
      <c r="L65" s="4" t="s">
        <v>111</v>
      </c>
      <c r="M65" s="5" t="s">
        <v>112</v>
      </c>
    </row>
    <row r="66" customFormat="false" ht="23.85" hidden="false" customHeight="false" outlineLevel="0" collapsed="false">
      <c r="A66" s="5" t="n">
        <v>62</v>
      </c>
      <c r="B66" s="4" t="s">
        <v>12</v>
      </c>
      <c r="C66" s="4" t="s">
        <v>106</v>
      </c>
      <c r="D66" s="4" t="s">
        <v>18</v>
      </c>
      <c r="E66" s="4" t="s">
        <v>19</v>
      </c>
      <c r="F66" s="5" t="s">
        <v>243</v>
      </c>
      <c r="G66" s="4"/>
      <c r="H66" s="5" t="s">
        <v>124</v>
      </c>
      <c r="I66" s="4" t="s">
        <v>252</v>
      </c>
      <c r="J66" s="4" t="s">
        <v>7</v>
      </c>
      <c r="K66" s="4" t="s">
        <v>152</v>
      </c>
      <c r="L66" s="4" t="s">
        <v>111</v>
      </c>
      <c r="M66" s="5" t="s">
        <v>112</v>
      </c>
    </row>
    <row r="67" customFormat="false" ht="23.85" hidden="false" customHeight="false" outlineLevel="0" collapsed="false">
      <c r="A67" s="5" t="n">
        <v>63</v>
      </c>
      <c r="B67" s="4" t="s">
        <v>12</v>
      </c>
      <c r="C67" s="4" t="s">
        <v>106</v>
      </c>
      <c r="D67" s="4" t="s">
        <v>18</v>
      </c>
      <c r="E67" s="4" t="s">
        <v>19</v>
      </c>
      <c r="F67" s="5" t="s">
        <v>243</v>
      </c>
      <c r="G67" s="4"/>
      <c r="H67" s="5" t="s">
        <v>126</v>
      </c>
      <c r="I67" s="4" t="s">
        <v>253</v>
      </c>
      <c r="J67" s="4" t="s">
        <v>7</v>
      </c>
      <c r="K67" s="4" t="s">
        <v>254</v>
      </c>
      <c r="L67" s="4" t="s">
        <v>111</v>
      </c>
      <c r="M67" s="5" t="s">
        <v>112</v>
      </c>
    </row>
    <row r="68" customFormat="false" ht="23.85" hidden="false" customHeight="false" outlineLevel="0" collapsed="false">
      <c r="A68" s="5" t="n">
        <v>64</v>
      </c>
      <c r="B68" s="4" t="s">
        <v>12</v>
      </c>
      <c r="C68" s="4" t="s">
        <v>106</v>
      </c>
      <c r="D68" s="4" t="s">
        <v>18</v>
      </c>
      <c r="E68" s="4" t="s">
        <v>19</v>
      </c>
      <c r="F68" s="5" t="s">
        <v>243</v>
      </c>
      <c r="G68" s="4"/>
      <c r="H68" s="5" t="s">
        <v>129</v>
      </c>
      <c r="I68" s="4" t="s">
        <v>255</v>
      </c>
      <c r="J68" s="4" t="s">
        <v>7</v>
      </c>
      <c r="K68" s="4" t="s">
        <v>245</v>
      </c>
      <c r="L68" s="4" t="s">
        <v>111</v>
      </c>
      <c r="M68" s="5" t="s">
        <v>112</v>
      </c>
    </row>
    <row r="69" customFormat="false" ht="23.85" hidden="false" customHeight="false" outlineLevel="0" collapsed="false">
      <c r="A69" s="5" t="n">
        <v>65</v>
      </c>
      <c r="B69" s="4" t="s">
        <v>12</v>
      </c>
      <c r="C69" s="4" t="s">
        <v>106</v>
      </c>
      <c r="D69" s="4" t="s">
        <v>18</v>
      </c>
      <c r="E69" s="4" t="s">
        <v>19</v>
      </c>
      <c r="F69" s="5" t="s">
        <v>243</v>
      </c>
      <c r="G69" s="4"/>
      <c r="H69" s="5" t="s">
        <v>131</v>
      </c>
      <c r="I69" s="4" t="s">
        <v>256</v>
      </c>
      <c r="J69" s="4" t="s">
        <v>7</v>
      </c>
      <c r="K69" s="4" t="s">
        <v>152</v>
      </c>
      <c r="L69" s="4" t="s">
        <v>111</v>
      </c>
      <c r="M69" s="5" t="s">
        <v>112</v>
      </c>
    </row>
    <row r="70" customFormat="false" ht="23.85" hidden="false" customHeight="false" outlineLevel="0" collapsed="false">
      <c r="A70" s="5" t="n">
        <v>66</v>
      </c>
      <c r="B70" s="4" t="s">
        <v>12</v>
      </c>
      <c r="C70" s="4" t="s">
        <v>106</v>
      </c>
      <c r="D70" s="4" t="s">
        <v>18</v>
      </c>
      <c r="E70" s="4" t="s">
        <v>19</v>
      </c>
      <c r="F70" s="5" t="s">
        <v>243</v>
      </c>
      <c r="G70" s="4"/>
      <c r="H70" s="5" t="s">
        <v>134</v>
      </c>
      <c r="I70" s="4" t="s">
        <v>257</v>
      </c>
      <c r="J70" s="4" t="s">
        <v>7</v>
      </c>
      <c r="K70" s="4" t="s">
        <v>117</v>
      </c>
      <c r="L70" s="4" t="s">
        <v>111</v>
      </c>
      <c r="M70" s="5" t="s">
        <v>112</v>
      </c>
    </row>
    <row r="71" customFormat="false" ht="23.85" hidden="false" customHeight="false" outlineLevel="0" collapsed="false">
      <c r="A71" s="5" t="n">
        <v>67</v>
      </c>
      <c r="B71" s="4" t="s">
        <v>12</v>
      </c>
      <c r="C71" s="4" t="s">
        <v>106</v>
      </c>
      <c r="D71" s="4" t="s">
        <v>18</v>
      </c>
      <c r="E71" s="4" t="s">
        <v>19</v>
      </c>
      <c r="F71" s="5" t="s">
        <v>243</v>
      </c>
      <c r="G71" s="4"/>
      <c r="H71" s="5" t="s">
        <v>136</v>
      </c>
      <c r="I71" s="4" t="s">
        <v>258</v>
      </c>
      <c r="J71" s="4" t="s">
        <v>7</v>
      </c>
      <c r="K71" s="4" t="s">
        <v>259</v>
      </c>
      <c r="L71" s="4" t="s">
        <v>111</v>
      </c>
      <c r="M71" s="5" t="s">
        <v>112</v>
      </c>
    </row>
    <row r="72" customFormat="false" ht="23.85" hidden="false" customHeight="false" outlineLevel="0" collapsed="false">
      <c r="A72" s="5" t="n">
        <v>68</v>
      </c>
      <c r="B72" s="4" t="s">
        <v>12</v>
      </c>
      <c r="C72" s="4" t="s">
        <v>106</v>
      </c>
      <c r="D72" s="4" t="s">
        <v>18</v>
      </c>
      <c r="E72" s="4" t="s">
        <v>19</v>
      </c>
      <c r="F72" s="5" t="s">
        <v>243</v>
      </c>
      <c r="G72" s="4"/>
      <c r="H72" s="5" t="s">
        <v>139</v>
      </c>
      <c r="I72" s="4" t="s">
        <v>260</v>
      </c>
      <c r="J72" s="4" t="s">
        <v>7</v>
      </c>
      <c r="K72" s="4" t="s">
        <v>261</v>
      </c>
      <c r="L72" s="4" t="s">
        <v>111</v>
      </c>
      <c r="M72" s="5" t="s">
        <v>112</v>
      </c>
    </row>
    <row r="73" customFormat="false" ht="23.85" hidden="false" customHeight="false" outlineLevel="0" collapsed="false">
      <c r="A73" s="5" t="n">
        <v>69</v>
      </c>
      <c r="B73" s="4" t="s">
        <v>12</v>
      </c>
      <c r="C73" s="4" t="s">
        <v>106</v>
      </c>
      <c r="D73" s="4" t="s">
        <v>18</v>
      </c>
      <c r="E73" s="4" t="s">
        <v>19</v>
      </c>
      <c r="F73" s="5" t="s">
        <v>243</v>
      </c>
      <c r="G73" s="4"/>
      <c r="H73" s="5" t="s">
        <v>142</v>
      </c>
      <c r="I73" s="4" t="s">
        <v>262</v>
      </c>
      <c r="J73" s="4" t="s">
        <v>162</v>
      </c>
      <c r="K73" s="4" t="s">
        <v>263</v>
      </c>
      <c r="L73" s="4" t="s">
        <v>164</v>
      </c>
      <c r="M73" s="5" t="s">
        <v>112</v>
      </c>
    </row>
    <row r="74" customFormat="false" ht="23.85" hidden="false" customHeight="false" outlineLevel="0" collapsed="false">
      <c r="A74" s="5" t="n">
        <v>70</v>
      </c>
      <c r="B74" s="4" t="s">
        <v>12</v>
      </c>
      <c r="C74" s="4" t="s">
        <v>106</v>
      </c>
      <c r="D74" s="4" t="s">
        <v>18</v>
      </c>
      <c r="E74" s="4" t="s">
        <v>19</v>
      </c>
      <c r="F74" s="5" t="s">
        <v>243</v>
      </c>
      <c r="G74" s="4"/>
      <c r="H74" s="5" t="s">
        <v>144</v>
      </c>
      <c r="I74" s="4" t="s">
        <v>264</v>
      </c>
      <c r="J74" s="4" t="s">
        <v>162</v>
      </c>
      <c r="K74" s="4" t="s">
        <v>265</v>
      </c>
      <c r="L74" s="4" t="s">
        <v>164</v>
      </c>
      <c r="M74" s="5" t="s">
        <v>112</v>
      </c>
    </row>
    <row r="75" customFormat="false" ht="23.85" hidden="false" customHeight="false" outlineLevel="0" collapsed="false">
      <c r="A75" s="5" t="n">
        <v>71</v>
      </c>
      <c r="B75" s="4" t="s">
        <v>12</v>
      </c>
      <c r="C75" s="4" t="s">
        <v>106</v>
      </c>
      <c r="D75" s="4" t="s">
        <v>18</v>
      </c>
      <c r="E75" s="4" t="s">
        <v>19</v>
      </c>
      <c r="F75" s="5" t="s">
        <v>243</v>
      </c>
      <c r="G75" s="4"/>
      <c r="H75" s="5" t="s">
        <v>147</v>
      </c>
      <c r="I75" s="4" t="s">
        <v>266</v>
      </c>
      <c r="J75" s="4" t="s">
        <v>162</v>
      </c>
      <c r="K75" s="4" t="s">
        <v>267</v>
      </c>
      <c r="L75" s="4" t="s">
        <v>164</v>
      </c>
      <c r="M75" s="5" t="s">
        <v>112</v>
      </c>
    </row>
    <row r="76" customFormat="false" ht="23.85" hidden="false" customHeight="false" outlineLevel="0" collapsed="false">
      <c r="A76" s="5" t="n">
        <v>72</v>
      </c>
      <c r="B76" s="4" t="s">
        <v>12</v>
      </c>
      <c r="C76" s="4" t="s">
        <v>106</v>
      </c>
      <c r="D76" s="4" t="s">
        <v>18</v>
      </c>
      <c r="E76" s="4" t="s">
        <v>19</v>
      </c>
      <c r="F76" s="5" t="s">
        <v>243</v>
      </c>
      <c r="G76" s="4"/>
      <c r="H76" s="5" t="s">
        <v>150</v>
      </c>
      <c r="I76" s="4" t="s">
        <v>268</v>
      </c>
      <c r="J76" s="4" t="s">
        <v>162</v>
      </c>
      <c r="K76" s="4" t="s">
        <v>269</v>
      </c>
      <c r="L76" s="4" t="s">
        <v>164</v>
      </c>
      <c r="M76" s="5" t="s">
        <v>112</v>
      </c>
    </row>
    <row r="77" customFormat="false" ht="23.85" hidden="false" customHeight="false" outlineLevel="0" collapsed="false">
      <c r="A77" s="5" t="n">
        <v>73</v>
      </c>
      <c r="B77" s="4" t="s">
        <v>12</v>
      </c>
      <c r="C77" s="4" t="s">
        <v>106</v>
      </c>
      <c r="D77" s="4" t="s">
        <v>18</v>
      </c>
      <c r="E77" s="4" t="s">
        <v>19</v>
      </c>
      <c r="F77" s="5" t="s">
        <v>243</v>
      </c>
      <c r="G77" s="4"/>
      <c r="H77" s="5" t="s">
        <v>153</v>
      </c>
      <c r="I77" s="4" t="s">
        <v>270</v>
      </c>
      <c r="J77" s="4" t="s">
        <v>162</v>
      </c>
      <c r="K77" s="4" t="s">
        <v>271</v>
      </c>
      <c r="L77" s="4" t="s">
        <v>164</v>
      </c>
      <c r="M77" s="5" t="s">
        <v>112</v>
      </c>
    </row>
    <row r="78" customFormat="false" ht="23.85" hidden="false" customHeight="false" outlineLevel="0" collapsed="false">
      <c r="A78" s="5" t="n">
        <v>74</v>
      </c>
      <c r="B78" s="4" t="s">
        <v>12</v>
      </c>
      <c r="C78" s="4" t="s">
        <v>106</v>
      </c>
      <c r="D78" s="4" t="s">
        <v>18</v>
      </c>
      <c r="E78" s="4" t="s">
        <v>19</v>
      </c>
      <c r="F78" s="5" t="s">
        <v>243</v>
      </c>
      <c r="G78" s="4"/>
      <c r="H78" s="5" t="s">
        <v>155</v>
      </c>
      <c r="I78" s="4" t="s">
        <v>272</v>
      </c>
      <c r="J78" s="4" t="s">
        <v>162</v>
      </c>
      <c r="K78" s="4" t="s">
        <v>273</v>
      </c>
      <c r="L78" s="4" t="s">
        <v>164</v>
      </c>
      <c r="M78" s="5" t="s">
        <v>112</v>
      </c>
    </row>
    <row r="79" customFormat="false" ht="23.85" hidden="false" customHeight="false" outlineLevel="0" collapsed="false">
      <c r="A79" s="5" t="n">
        <v>75</v>
      </c>
      <c r="B79" s="4" t="s">
        <v>12</v>
      </c>
      <c r="C79" s="4" t="s">
        <v>106</v>
      </c>
      <c r="D79" s="4" t="s">
        <v>18</v>
      </c>
      <c r="E79" s="4" t="s">
        <v>19</v>
      </c>
      <c r="F79" s="5" t="s">
        <v>243</v>
      </c>
      <c r="G79" s="4"/>
      <c r="H79" s="5" t="s">
        <v>158</v>
      </c>
      <c r="I79" s="4" t="s">
        <v>274</v>
      </c>
      <c r="J79" s="4" t="s">
        <v>162</v>
      </c>
      <c r="K79" s="4" t="s">
        <v>275</v>
      </c>
      <c r="L79" s="4" t="s">
        <v>164</v>
      </c>
      <c r="M79" s="5" t="s">
        <v>112</v>
      </c>
    </row>
    <row r="80" customFormat="false" ht="23.85" hidden="false" customHeight="false" outlineLevel="0" collapsed="false">
      <c r="A80" s="5" t="n">
        <v>76</v>
      </c>
      <c r="B80" s="4" t="s">
        <v>12</v>
      </c>
      <c r="C80" s="4" t="s">
        <v>106</v>
      </c>
      <c r="D80" s="4" t="s">
        <v>18</v>
      </c>
      <c r="E80" s="4" t="s">
        <v>19</v>
      </c>
      <c r="F80" s="5" t="s">
        <v>243</v>
      </c>
      <c r="G80" s="4"/>
      <c r="H80" s="5" t="s">
        <v>160</v>
      </c>
      <c r="I80" s="4" t="s">
        <v>276</v>
      </c>
      <c r="J80" s="4" t="s">
        <v>162</v>
      </c>
      <c r="K80" s="4" t="s">
        <v>277</v>
      </c>
      <c r="L80" s="4" t="s">
        <v>164</v>
      </c>
      <c r="M80" s="5" t="s">
        <v>112</v>
      </c>
    </row>
    <row r="81" customFormat="false" ht="23.85" hidden="false" customHeight="false" outlineLevel="0" collapsed="false">
      <c r="A81" s="5" t="n">
        <v>77</v>
      </c>
      <c r="B81" s="4" t="s">
        <v>12</v>
      </c>
      <c r="C81" s="4" t="s">
        <v>106</v>
      </c>
      <c r="D81" s="4" t="s">
        <v>18</v>
      </c>
      <c r="E81" s="4" t="s">
        <v>19</v>
      </c>
      <c r="F81" s="5" t="s">
        <v>243</v>
      </c>
      <c r="G81" s="4"/>
      <c r="H81" s="5" t="s">
        <v>165</v>
      </c>
      <c r="I81" s="4" t="s">
        <v>278</v>
      </c>
      <c r="J81" s="4" t="s">
        <v>162</v>
      </c>
      <c r="K81" s="4" t="s">
        <v>279</v>
      </c>
      <c r="L81" s="4" t="s">
        <v>164</v>
      </c>
      <c r="M81" s="5" t="s">
        <v>112</v>
      </c>
    </row>
    <row r="82" customFormat="false" ht="23.85" hidden="false" customHeight="false" outlineLevel="0" collapsed="false">
      <c r="A82" s="5" t="n">
        <v>78</v>
      </c>
      <c r="B82" s="4" t="s">
        <v>12</v>
      </c>
      <c r="C82" s="4" t="s">
        <v>106</v>
      </c>
      <c r="D82" s="4" t="s">
        <v>18</v>
      </c>
      <c r="E82" s="4" t="s">
        <v>19</v>
      </c>
      <c r="F82" s="5" t="s">
        <v>243</v>
      </c>
      <c r="G82" s="4"/>
      <c r="H82" s="5" t="s">
        <v>168</v>
      </c>
      <c r="I82" s="4" t="s">
        <v>280</v>
      </c>
      <c r="J82" s="4" t="s">
        <v>162</v>
      </c>
      <c r="K82" s="4" t="s">
        <v>281</v>
      </c>
      <c r="L82" s="4" t="s">
        <v>164</v>
      </c>
      <c r="M82" s="5" t="s">
        <v>112</v>
      </c>
    </row>
    <row r="83" customFormat="false" ht="23.85" hidden="false" customHeight="false" outlineLevel="0" collapsed="false">
      <c r="A83" s="5" t="n">
        <v>79</v>
      </c>
      <c r="B83" s="4" t="s">
        <v>12</v>
      </c>
      <c r="C83" s="4" t="s">
        <v>106</v>
      </c>
      <c r="D83" s="4" t="s">
        <v>18</v>
      </c>
      <c r="E83" s="4" t="s">
        <v>19</v>
      </c>
      <c r="F83" s="5" t="s">
        <v>243</v>
      </c>
      <c r="G83" s="4"/>
      <c r="H83" s="5" t="s">
        <v>171</v>
      </c>
      <c r="I83" s="4" t="s">
        <v>282</v>
      </c>
      <c r="J83" s="4" t="s">
        <v>162</v>
      </c>
      <c r="K83" s="4" t="s">
        <v>283</v>
      </c>
      <c r="L83" s="4" t="s">
        <v>164</v>
      </c>
      <c r="M83" s="5" t="s">
        <v>112</v>
      </c>
    </row>
    <row r="84" customFormat="false" ht="23.85" hidden="false" customHeight="false" outlineLevel="0" collapsed="false">
      <c r="A84" s="5" t="n">
        <v>80</v>
      </c>
      <c r="B84" s="4" t="s">
        <v>12</v>
      </c>
      <c r="C84" s="4" t="s">
        <v>106</v>
      </c>
      <c r="D84" s="4" t="s">
        <v>18</v>
      </c>
      <c r="E84" s="4" t="s">
        <v>19</v>
      </c>
      <c r="F84" s="5" t="s">
        <v>243</v>
      </c>
      <c r="G84" s="4"/>
      <c r="H84" s="5" t="s">
        <v>174</v>
      </c>
      <c r="I84" s="4" t="s">
        <v>284</v>
      </c>
      <c r="J84" s="4" t="s">
        <v>162</v>
      </c>
      <c r="K84" s="4" t="s">
        <v>285</v>
      </c>
      <c r="L84" s="4" t="s">
        <v>164</v>
      </c>
      <c r="M84" s="5" t="s">
        <v>112</v>
      </c>
    </row>
    <row r="85" customFormat="false" ht="23.85" hidden="false" customHeight="false" outlineLevel="0" collapsed="false">
      <c r="A85" s="5" t="n">
        <v>81</v>
      </c>
      <c r="B85" s="4" t="s">
        <v>12</v>
      </c>
      <c r="C85" s="4" t="s">
        <v>106</v>
      </c>
      <c r="D85" s="4" t="s">
        <v>18</v>
      </c>
      <c r="E85" s="4" t="s">
        <v>19</v>
      </c>
      <c r="F85" s="5" t="s">
        <v>243</v>
      </c>
      <c r="G85" s="4"/>
      <c r="H85" s="5" t="s">
        <v>177</v>
      </c>
      <c r="I85" s="4" t="s">
        <v>286</v>
      </c>
      <c r="J85" s="4" t="s">
        <v>162</v>
      </c>
      <c r="K85" s="4" t="s">
        <v>287</v>
      </c>
      <c r="L85" s="4" t="s">
        <v>164</v>
      </c>
      <c r="M85" s="5" t="s">
        <v>112</v>
      </c>
    </row>
    <row r="86" customFormat="false" ht="23.85" hidden="false" customHeight="false" outlineLevel="0" collapsed="false">
      <c r="A86" s="5" t="n">
        <v>82</v>
      </c>
      <c r="B86" s="4" t="s">
        <v>12</v>
      </c>
      <c r="C86" s="4" t="s">
        <v>106</v>
      </c>
      <c r="D86" s="4" t="s">
        <v>18</v>
      </c>
      <c r="E86" s="4" t="s">
        <v>19</v>
      </c>
      <c r="F86" s="5" t="s">
        <v>243</v>
      </c>
      <c r="G86" s="4"/>
      <c r="H86" s="5" t="s">
        <v>180</v>
      </c>
      <c r="I86" s="4" t="s">
        <v>288</v>
      </c>
      <c r="J86" s="4" t="s">
        <v>162</v>
      </c>
      <c r="K86" s="4" t="s">
        <v>289</v>
      </c>
      <c r="L86" s="4" t="s">
        <v>164</v>
      </c>
      <c r="M86" s="5" t="s">
        <v>112</v>
      </c>
    </row>
    <row r="87" customFormat="false" ht="23.85" hidden="false" customHeight="false" outlineLevel="0" collapsed="false">
      <c r="A87" s="5" t="n">
        <v>83</v>
      </c>
      <c r="B87" s="4" t="s">
        <v>12</v>
      </c>
      <c r="C87" s="4" t="s">
        <v>106</v>
      </c>
      <c r="D87" s="4" t="s">
        <v>18</v>
      </c>
      <c r="E87" s="4" t="s">
        <v>19</v>
      </c>
      <c r="F87" s="5" t="s">
        <v>243</v>
      </c>
      <c r="G87" s="4"/>
      <c r="H87" s="5" t="s">
        <v>183</v>
      </c>
      <c r="I87" s="4" t="s">
        <v>290</v>
      </c>
      <c r="J87" s="4" t="s">
        <v>162</v>
      </c>
      <c r="K87" s="4" t="s">
        <v>291</v>
      </c>
      <c r="L87" s="4" t="s">
        <v>164</v>
      </c>
      <c r="M87" s="5" t="s">
        <v>112</v>
      </c>
    </row>
    <row r="88" customFormat="false" ht="23.85" hidden="false" customHeight="false" outlineLevel="0" collapsed="false">
      <c r="A88" s="5" t="n">
        <v>84</v>
      </c>
      <c r="B88" s="4" t="s">
        <v>12</v>
      </c>
      <c r="C88" s="4" t="s">
        <v>106</v>
      </c>
      <c r="D88" s="4" t="s">
        <v>18</v>
      </c>
      <c r="E88" s="4" t="s">
        <v>19</v>
      </c>
      <c r="F88" s="5" t="s">
        <v>243</v>
      </c>
      <c r="G88" s="4"/>
      <c r="H88" s="5" t="s">
        <v>186</v>
      </c>
      <c r="I88" s="4" t="s">
        <v>292</v>
      </c>
      <c r="J88" s="4" t="s">
        <v>162</v>
      </c>
      <c r="K88" s="4" t="s">
        <v>293</v>
      </c>
      <c r="L88" s="4" t="s">
        <v>164</v>
      </c>
      <c r="M88" s="5" t="s">
        <v>112</v>
      </c>
    </row>
    <row r="89" customFormat="false" ht="23.85" hidden="false" customHeight="false" outlineLevel="0" collapsed="false">
      <c r="A89" s="5" t="n">
        <v>85</v>
      </c>
      <c r="B89" s="4" t="s">
        <v>12</v>
      </c>
      <c r="C89" s="4" t="s">
        <v>106</v>
      </c>
      <c r="D89" s="4" t="s">
        <v>18</v>
      </c>
      <c r="E89" s="4" t="s">
        <v>19</v>
      </c>
      <c r="F89" s="5" t="s">
        <v>243</v>
      </c>
      <c r="G89" s="4"/>
      <c r="H89" s="5" t="s">
        <v>189</v>
      </c>
      <c r="I89" s="4" t="s">
        <v>294</v>
      </c>
      <c r="J89" s="4" t="s">
        <v>162</v>
      </c>
      <c r="K89" s="4" t="s">
        <v>295</v>
      </c>
      <c r="L89" s="4" t="s">
        <v>164</v>
      </c>
      <c r="M89" s="5" t="s">
        <v>112</v>
      </c>
    </row>
    <row r="90" customFormat="false" ht="23.85" hidden="false" customHeight="false" outlineLevel="0" collapsed="false">
      <c r="A90" s="5" t="n">
        <v>86</v>
      </c>
      <c r="B90" s="4" t="s">
        <v>12</v>
      </c>
      <c r="C90" s="4" t="s">
        <v>106</v>
      </c>
      <c r="D90" s="4" t="s">
        <v>18</v>
      </c>
      <c r="E90" s="4" t="s">
        <v>19</v>
      </c>
      <c r="F90" s="5" t="s">
        <v>243</v>
      </c>
      <c r="G90" s="4"/>
      <c r="H90" s="5" t="s">
        <v>192</v>
      </c>
      <c r="I90" s="4" t="s">
        <v>296</v>
      </c>
      <c r="J90" s="4" t="s">
        <v>162</v>
      </c>
      <c r="K90" s="4" t="s">
        <v>297</v>
      </c>
      <c r="L90" s="4" t="s">
        <v>195</v>
      </c>
      <c r="M90" s="5" t="s">
        <v>112</v>
      </c>
    </row>
    <row r="91" customFormat="false" ht="35.05" hidden="false" customHeight="false" outlineLevel="0" collapsed="false">
      <c r="A91" s="5" t="n">
        <v>87</v>
      </c>
      <c r="B91" s="4" t="s">
        <v>12</v>
      </c>
      <c r="C91" s="4" t="s">
        <v>106</v>
      </c>
      <c r="D91" s="4" t="s">
        <v>18</v>
      </c>
      <c r="E91" s="4" t="s">
        <v>19</v>
      </c>
      <c r="F91" s="5" t="s">
        <v>243</v>
      </c>
      <c r="G91" s="4"/>
      <c r="H91" s="5" t="s">
        <v>202</v>
      </c>
      <c r="I91" s="4" t="s">
        <v>298</v>
      </c>
      <c r="J91" s="4" t="s">
        <v>9</v>
      </c>
      <c r="K91" s="4" t="s">
        <v>299</v>
      </c>
      <c r="L91" s="4" t="s">
        <v>111</v>
      </c>
      <c r="M91" s="5" t="s">
        <v>205</v>
      </c>
    </row>
    <row r="92" customFormat="false" ht="46.25" hidden="false" customHeight="false" outlineLevel="0" collapsed="false">
      <c r="A92" s="5" t="n">
        <v>88</v>
      </c>
      <c r="B92" s="4" t="s">
        <v>12</v>
      </c>
      <c r="C92" s="4" t="s">
        <v>106</v>
      </c>
      <c r="D92" s="4" t="s">
        <v>18</v>
      </c>
      <c r="E92" s="4" t="s">
        <v>19</v>
      </c>
      <c r="F92" s="5" t="s">
        <v>243</v>
      </c>
      <c r="G92" s="4"/>
      <c r="H92" s="5" t="s">
        <v>206</v>
      </c>
      <c r="I92" s="4" t="s">
        <v>300</v>
      </c>
      <c r="J92" s="4" t="s">
        <v>9</v>
      </c>
      <c r="K92" s="4" t="s">
        <v>301</v>
      </c>
      <c r="L92" s="4" t="s">
        <v>111</v>
      </c>
      <c r="M92" s="5" t="s">
        <v>205</v>
      </c>
    </row>
    <row r="93" customFormat="false" ht="23.85" hidden="false" customHeight="false" outlineLevel="0" collapsed="false">
      <c r="A93" s="5" t="n">
        <v>89</v>
      </c>
      <c r="B93" s="4" t="s">
        <v>12</v>
      </c>
      <c r="C93" s="4" t="s">
        <v>106</v>
      </c>
      <c r="D93" s="4" t="s">
        <v>20</v>
      </c>
      <c r="E93" s="4" t="s">
        <v>21</v>
      </c>
      <c r="F93" s="5" t="s">
        <v>302</v>
      </c>
      <c r="G93" s="4"/>
      <c r="H93" s="5" t="s">
        <v>108</v>
      </c>
      <c r="I93" s="4" t="s">
        <v>303</v>
      </c>
      <c r="J93" s="4" t="s">
        <v>7</v>
      </c>
      <c r="K93" s="4" t="s">
        <v>133</v>
      </c>
      <c r="L93" s="4" t="s">
        <v>111</v>
      </c>
      <c r="M93" s="5" t="s">
        <v>112</v>
      </c>
    </row>
    <row r="94" customFormat="false" ht="23.85" hidden="false" customHeight="false" outlineLevel="0" collapsed="false">
      <c r="A94" s="5" t="n">
        <v>90</v>
      </c>
      <c r="B94" s="4" t="s">
        <v>12</v>
      </c>
      <c r="C94" s="4" t="s">
        <v>106</v>
      </c>
      <c r="D94" s="4" t="s">
        <v>20</v>
      </c>
      <c r="E94" s="4" t="s">
        <v>21</v>
      </c>
      <c r="F94" s="5" t="s">
        <v>302</v>
      </c>
      <c r="G94" s="4"/>
      <c r="H94" s="5" t="s">
        <v>113</v>
      </c>
      <c r="I94" s="4" t="s">
        <v>304</v>
      </c>
      <c r="J94" s="4" t="s">
        <v>7</v>
      </c>
      <c r="K94" s="4" t="s">
        <v>245</v>
      </c>
      <c r="L94" s="4" t="s">
        <v>111</v>
      </c>
      <c r="M94" s="5" t="s">
        <v>112</v>
      </c>
    </row>
    <row r="95" customFormat="false" ht="23.85" hidden="false" customHeight="false" outlineLevel="0" collapsed="false">
      <c r="A95" s="5" t="n">
        <v>91</v>
      </c>
      <c r="B95" s="4" t="s">
        <v>12</v>
      </c>
      <c r="C95" s="4" t="s">
        <v>106</v>
      </c>
      <c r="D95" s="4" t="s">
        <v>20</v>
      </c>
      <c r="E95" s="4" t="s">
        <v>21</v>
      </c>
      <c r="F95" s="5" t="s">
        <v>302</v>
      </c>
      <c r="G95" s="4"/>
      <c r="H95" s="5" t="s">
        <v>115</v>
      </c>
      <c r="I95" s="4" t="s">
        <v>305</v>
      </c>
      <c r="J95" s="4" t="s">
        <v>7</v>
      </c>
      <c r="K95" s="4" t="s">
        <v>306</v>
      </c>
      <c r="L95" s="4" t="s">
        <v>111</v>
      </c>
      <c r="M95" s="5" t="s">
        <v>112</v>
      </c>
    </row>
    <row r="96" customFormat="false" ht="23.85" hidden="false" customHeight="false" outlineLevel="0" collapsed="false">
      <c r="A96" s="5" t="n">
        <v>92</v>
      </c>
      <c r="B96" s="4" t="s">
        <v>12</v>
      </c>
      <c r="C96" s="4" t="s">
        <v>106</v>
      </c>
      <c r="D96" s="4" t="s">
        <v>20</v>
      </c>
      <c r="E96" s="4" t="s">
        <v>21</v>
      </c>
      <c r="F96" s="5" t="s">
        <v>302</v>
      </c>
      <c r="G96" s="4"/>
      <c r="H96" s="5" t="s">
        <v>118</v>
      </c>
      <c r="I96" s="4" t="s">
        <v>307</v>
      </c>
      <c r="J96" s="4" t="s">
        <v>7</v>
      </c>
      <c r="K96" s="4" t="s">
        <v>308</v>
      </c>
      <c r="L96" s="4" t="s">
        <v>111</v>
      </c>
      <c r="M96" s="5" t="s">
        <v>112</v>
      </c>
    </row>
    <row r="97" customFormat="false" ht="23.85" hidden="false" customHeight="false" outlineLevel="0" collapsed="false">
      <c r="A97" s="5" t="n">
        <v>93</v>
      </c>
      <c r="B97" s="4" t="s">
        <v>12</v>
      </c>
      <c r="C97" s="4" t="s">
        <v>106</v>
      </c>
      <c r="D97" s="4" t="s">
        <v>20</v>
      </c>
      <c r="E97" s="4" t="s">
        <v>21</v>
      </c>
      <c r="F97" s="5" t="s">
        <v>302</v>
      </c>
      <c r="G97" s="4"/>
      <c r="H97" s="5" t="s">
        <v>120</v>
      </c>
      <c r="I97" s="4" t="s">
        <v>309</v>
      </c>
      <c r="J97" s="4" t="s">
        <v>7</v>
      </c>
      <c r="K97" s="4" t="s">
        <v>128</v>
      </c>
      <c r="L97" s="4" t="s">
        <v>111</v>
      </c>
      <c r="M97" s="5" t="s">
        <v>112</v>
      </c>
    </row>
    <row r="98" customFormat="false" ht="23.85" hidden="false" customHeight="false" outlineLevel="0" collapsed="false">
      <c r="A98" s="5" t="n">
        <v>94</v>
      </c>
      <c r="B98" s="4" t="s">
        <v>12</v>
      </c>
      <c r="C98" s="4" t="s">
        <v>106</v>
      </c>
      <c r="D98" s="4" t="s">
        <v>20</v>
      </c>
      <c r="E98" s="4" t="s">
        <v>21</v>
      </c>
      <c r="F98" s="5" t="s">
        <v>302</v>
      </c>
      <c r="G98" s="4"/>
      <c r="H98" s="5" t="s">
        <v>122</v>
      </c>
      <c r="I98" s="4" t="s">
        <v>310</v>
      </c>
      <c r="J98" s="4" t="s">
        <v>162</v>
      </c>
      <c r="K98" s="4" t="s">
        <v>311</v>
      </c>
      <c r="L98" s="4" t="s">
        <v>164</v>
      </c>
      <c r="M98" s="5" t="s">
        <v>112</v>
      </c>
    </row>
    <row r="99" customFormat="false" ht="23.85" hidden="false" customHeight="false" outlineLevel="0" collapsed="false">
      <c r="A99" s="5" t="n">
        <v>95</v>
      </c>
      <c r="B99" s="4" t="s">
        <v>12</v>
      </c>
      <c r="C99" s="4" t="s">
        <v>106</v>
      </c>
      <c r="D99" s="4" t="s">
        <v>20</v>
      </c>
      <c r="E99" s="4" t="s">
        <v>21</v>
      </c>
      <c r="F99" s="5" t="s">
        <v>302</v>
      </c>
      <c r="G99" s="4"/>
      <c r="H99" s="5" t="s">
        <v>124</v>
      </c>
      <c r="I99" s="4" t="s">
        <v>312</v>
      </c>
      <c r="J99" s="4" t="s">
        <v>162</v>
      </c>
      <c r="K99" s="4" t="s">
        <v>313</v>
      </c>
      <c r="L99" s="4" t="s">
        <v>164</v>
      </c>
      <c r="M99" s="5" t="s">
        <v>112</v>
      </c>
    </row>
    <row r="100" customFormat="false" ht="23.85" hidden="false" customHeight="false" outlineLevel="0" collapsed="false">
      <c r="A100" s="5" t="n">
        <v>96</v>
      </c>
      <c r="B100" s="4" t="s">
        <v>12</v>
      </c>
      <c r="C100" s="4" t="s">
        <v>106</v>
      </c>
      <c r="D100" s="4" t="s">
        <v>20</v>
      </c>
      <c r="E100" s="4" t="s">
        <v>21</v>
      </c>
      <c r="F100" s="5" t="s">
        <v>302</v>
      </c>
      <c r="G100" s="4"/>
      <c r="H100" s="5" t="s">
        <v>126</v>
      </c>
      <c r="I100" s="4" t="s">
        <v>314</v>
      </c>
      <c r="J100" s="4" t="s">
        <v>162</v>
      </c>
      <c r="K100" s="4" t="s">
        <v>315</v>
      </c>
      <c r="L100" s="4" t="s">
        <v>164</v>
      </c>
      <c r="M100" s="5" t="s">
        <v>112</v>
      </c>
    </row>
    <row r="101" customFormat="false" ht="23.85" hidden="false" customHeight="false" outlineLevel="0" collapsed="false">
      <c r="A101" s="5" t="n">
        <v>97</v>
      </c>
      <c r="B101" s="4" t="s">
        <v>12</v>
      </c>
      <c r="C101" s="4" t="s">
        <v>106</v>
      </c>
      <c r="D101" s="4" t="s">
        <v>20</v>
      </c>
      <c r="E101" s="4" t="s">
        <v>21</v>
      </c>
      <c r="F101" s="5" t="s">
        <v>302</v>
      </c>
      <c r="G101" s="4"/>
      <c r="H101" s="5" t="s">
        <v>129</v>
      </c>
      <c r="I101" s="4" t="s">
        <v>316</v>
      </c>
      <c r="J101" s="4" t="s">
        <v>162</v>
      </c>
      <c r="K101" s="4" t="s">
        <v>317</v>
      </c>
      <c r="L101" s="4" t="s">
        <v>164</v>
      </c>
      <c r="M101" s="5" t="s">
        <v>112</v>
      </c>
    </row>
    <row r="102" customFormat="false" ht="23.85" hidden="false" customHeight="false" outlineLevel="0" collapsed="false">
      <c r="A102" s="5" t="n">
        <v>98</v>
      </c>
      <c r="B102" s="4" t="s">
        <v>12</v>
      </c>
      <c r="C102" s="4" t="s">
        <v>106</v>
      </c>
      <c r="D102" s="4" t="s">
        <v>20</v>
      </c>
      <c r="E102" s="4" t="s">
        <v>21</v>
      </c>
      <c r="F102" s="5" t="s">
        <v>302</v>
      </c>
      <c r="G102" s="4"/>
      <c r="H102" s="5" t="s">
        <v>131</v>
      </c>
      <c r="I102" s="4" t="s">
        <v>318</v>
      </c>
      <c r="J102" s="4" t="s">
        <v>162</v>
      </c>
      <c r="K102" s="4" t="s">
        <v>319</v>
      </c>
      <c r="L102" s="4" t="s">
        <v>164</v>
      </c>
      <c r="M102" s="5" t="s">
        <v>112</v>
      </c>
    </row>
    <row r="103" customFormat="false" ht="23.85" hidden="false" customHeight="false" outlineLevel="0" collapsed="false">
      <c r="A103" s="5" t="n">
        <v>99</v>
      </c>
      <c r="B103" s="4" t="s">
        <v>12</v>
      </c>
      <c r="C103" s="4" t="s">
        <v>106</v>
      </c>
      <c r="D103" s="4" t="s">
        <v>20</v>
      </c>
      <c r="E103" s="4" t="s">
        <v>21</v>
      </c>
      <c r="F103" s="5" t="s">
        <v>302</v>
      </c>
      <c r="G103" s="4"/>
      <c r="H103" s="5" t="s">
        <v>134</v>
      </c>
      <c r="I103" s="4" t="s">
        <v>320</v>
      </c>
      <c r="J103" s="4" t="s">
        <v>162</v>
      </c>
      <c r="K103" s="4" t="s">
        <v>321</v>
      </c>
      <c r="L103" s="4" t="s">
        <v>164</v>
      </c>
      <c r="M103" s="5" t="s">
        <v>112</v>
      </c>
    </row>
    <row r="104" customFormat="false" ht="23.85" hidden="false" customHeight="false" outlineLevel="0" collapsed="false">
      <c r="A104" s="5" t="n">
        <v>100</v>
      </c>
      <c r="B104" s="4" t="s">
        <v>12</v>
      </c>
      <c r="C104" s="4" t="s">
        <v>106</v>
      </c>
      <c r="D104" s="4" t="s">
        <v>20</v>
      </c>
      <c r="E104" s="4" t="s">
        <v>21</v>
      </c>
      <c r="F104" s="5" t="s">
        <v>302</v>
      </c>
      <c r="G104" s="4"/>
      <c r="H104" s="5" t="s">
        <v>136</v>
      </c>
      <c r="I104" s="4" t="s">
        <v>322</v>
      </c>
      <c r="J104" s="4" t="s">
        <v>162</v>
      </c>
      <c r="K104" s="4" t="s">
        <v>323</v>
      </c>
      <c r="L104" s="4" t="s">
        <v>164</v>
      </c>
      <c r="M104" s="5" t="s">
        <v>112</v>
      </c>
    </row>
    <row r="105" customFormat="false" ht="23.85" hidden="false" customHeight="false" outlineLevel="0" collapsed="false">
      <c r="A105" s="5" t="n">
        <v>101</v>
      </c>
      <c r="B105" s="4" t="s">
        <v>12</v>
      </c>
      <c r="C105" s="4" t="s">
        <v>106</v>
      </c>
      <c r="D105" s="4" t="s">
        <v>20</v>
      </c>
      <c r="E105" s="4" t="s">
        <v>21</v>
      </c>
      <c r="F105" s="5" t="s">
        <v>302</v>
      </c>
      <c r="G105" s="4"/>
      <c r="H105" s="5" t="s">
        <v>202</v>
      </c>
      <c r="I105" s="4" t="s">
        <v>324</v>
      </c>
      <c r="J105" s="4" t="s">
        <v>9</v>
      </c>
      <c r="K105" s="4" t="s">
        <v>325</v>
      </c>
      <c r="L105" s="4" t="s">
        <v>111</v>
      </c>
      <c r="M105" s="5" t="s">
        <v>205</v>
      </c>
    </row>
    <row r="106" customFormat="false" ht="35.05" hidden="false" customHeight="false" outlineLevel="0" collapsed="false">
      <c r="A106" s="5" t="n">
        <v>102</v>
      </c>
      <c r="B106" s="4" t="s">
        <v>12</v>
      </c>
      <c r="C106" s="4" t="s">
        <v>106</v>
      </c>
      <c r="D106" s="4" t="s">
        <v>20</v>
      </c>
      <c r="E106" s="4" t="s">
        <v>21</v>
      </c>
      <c r="F106" s="5" t="s">
        <v>302</v>
      </c>
      <c r="G106" s="4"/>
      <c r="H106" s="5" t="s">
        <v>206</v>
      </c>
      <c r="I106" s="4" t="s">
        <v>326</v>
      </c>
      <c r="J106" s="4" t="s">
        <v>9</v>
      </c>
      <c r="K106" s="4" t="s">
        <v>327</v>
      </c>
      <c r="L106" s="4" t="s">
        <v>111</v>
      </c>
      <c r="M106" s="5" t="s">
        <v>205</v>
      </c>
    </row>
    <row r="107" customFormat="false" ht="35.05" hidden="false" customHeight="false" outlineLevel="0" collapsed="false">
      <c r="A107" s="5" t="n">
        <v>103</v>
      </c>
      <c r="B107" s="4" t="s">
        <v>12</v>
      </c>
      <c r="C107" s="4" t="s">
        <v>106</v>
      </c>
      <c r="D107" s="4" t="s">
        <v>20</v>
      </c>
      <c r="E107" s="4" t="s">
        <v>21</v>
      </c>
      <c r="F107" s="5" t="s">
        <v>302</v>
      </c>
      <c r="G107" s="4"/>
      <c r="H107" s="5" t="s">
        <v>209</v>
      </c>
      <c r="I107" s="4" t="s">
        <v>328</v>
      </c>
      <c r="J107" s="4" t="s">
        <v>9</v>
      </c>
      <c r="K107" s="4" t="s">
        <v>329</v>
      </c>
      <c r="L107" s="4" t="s">
        <v>111</v>
      </c>
      <c r="M107" s="5" t="s">
        <v>205</v>
      </c>
    </row>
    <row r="108" customFormat="false" ht="23.85" hidden="false" customHeight="false" outlineLevel="0" collapsed="false">
      <c r="A108" s="5" t="n">
        <v>104</v>
      </c>
      <c r="B108" s="4" t="s">
        <v>12</v>
      </c>
      <c r="C108" s="4" t="s">
        <v>106</v>
      </c>
      <c r="D108" s="4" t="s">
        <v>22</v>
      </c>
      <c r="E108" s="4" t="s">
        <v>23</v>
      </c>
      <c r="F108" s="5" t="s">
        <v>330</v>
      </c>
      <c r="G108" s="4"/>
      <c r="H108" s="5" t="s">
        <v>108</v>
      </c>
      <c r="I108" s="4" t="s">
        <v>331</v>
      </c>
      <c r="J108" s="4" t="s">
        <v>7</v>
      </c>
      <c r="K108" s="4" t="s">
        <v>245</v>
      </c>
      <c r="L108" s="4" t="s">
        <v>111</v>
      </c>
      <c r="M108" s="5" t="s">
        <v>112</v>
      </c>
    </row>
    <row r="109" customFormat="false" ht="23.85" hidden="false" customHeight="false" outlineLevel="0" collapsed="false">
      <c r="A109" s="5" t="n">
        <v>105</v>
      </c>
      <c r="B109" s="4" t="s">
        <v>12</v>
      </c>
      <c r="C109" s="4" t="s">
        <v>106</v>
      </c>
      <c r="D109" s="4" t="s">
        <v>22</v>
      </c>
      <c r="E109" s="4" t="s">
        <v>23</v>
      </c>
      <c r="F109" s="5" t="s">
        <v>330</v>
      </c>
      <c r="G109" s="4"/>
      <c r="H109" s="5" t="s">
        <v>113</v>
      </c>
      <c r="I109" s="4" t="s">
        <v>332</v>
      </c>
      <c r="J109" s="4" t="s">
        <v>7</v>
      </c>
      <c r="K109" s="4" t="s">
        <v>245</v>
      </c>
      <c r="L109" s="4" t="s">
        <v>111</v>
      </c>
      <c r="M109" s="5" t="s">
        <v>112</v>
      </c>
    </row>
    <row r="110" customFormat="false" ht="23.85" hidden="false" customHeight="false" outlineLevel="0" collapsed="false">
      <c r="A110" s="5" t="n">
        <v>106</v>
      </c>
      <c r="B110" s="4" t="s">
        <v>12</v>
      </c>
      <c r="C110" s="4" t="s">
        <v>106</v>
      </c>
      <c r="D110" s="4" t="s">
        <v>22</v>
      </c>
      <c r="E110" s="4" t="s">
        <v>23</v>
      </c>
      <c r="F110" s="5" t="s">
        <v>330</v>
      </c>
      <c r="G110" s="4"/>
      <c r="H110" s="5" t="s">
        <v>115</v>
      </c>
      <c r="I110" s="4" t="s">
        <v>333</v>
      </c>
      <c r="J110" s="4" t="s">
        <v>7</v>
      </c>
      <c r="K110" s="4" t="s">
        <v>254</v>
      </c>
      <c r="L110" s="4" t="s">
        <v>111</v>
      </c>
      <c r="M110" s="5" t="s">
        <v>112</v>
      </c>
    </row>
    <row r="111" customFormat="false" ht="23.85" hidden="false" customHeight="false" outlineLevel="0" collapsed="false">
      <c r="A111" s="5" t="n">
        <v>107</v>
      </c>
      <c r="B111" s="4" t="s">
        <v>12</v>
      </c>
      <c r="C111" s="4" t="s">
        <v>106</v>
      </c>
      <c r="D111" s="4" t="s">
        <v>22</v>
      </c>
      <c r="E111" s="4" t="s">
        <v>23</v>
      </c>
      <c r="F111" s="5" t="s">
        <v>330</v>
      </c>
      <c r="G111" s="4"/>
      <c r="H111" s="5" t="s">
        <v>118</v>
      </c>
      <c r="I111" s="4" t="s">
        <v>334</v>
      </c>
      <c r="J111" s="4" t="s">
        <v>7</v>
      </c>
      <c r="K111" s="4" t="s">
        <v>254</v>
      </c>
      <c r="L111" s="4" t="s">
        <v>111</v>
      </c>
      <c r="M111" s="5" t="s">
        <v>112</v>
      </c>
    </row>
    <row r="112" customFormat="false" ht="23.85" hidden="false" customHeight="false" outlineLevel="0" collapsed="false">
      <c r="A112" s="5" t="n">
        <v>108</v>
      </c>
      <c r="B112" s="4" t="s">
        <v>12</v>
      </c>
      <c r="C112" s="4" t="s">
        <v>106</v>
      </c>
      <c r="D112" s="4" t="s">
        <v>22</v>
      </c>
      <c r="E112" s="4" t="s">
        <v>23</v>
      </c>
      <c r="F112" s="5" t="s">
        <v>330</v>
      </c>
      <c r="G112" s="4"/>
      <c r="H112" s="5" t="s">
        <v>120</v>
      </c>
      <c r="I112" s="4" t="s">
        <v>335</v>
      </c>
      <c r="J112" s="4" t="s">
        <v>7</v>
      </c>
      <c r="K112" s="4" t="s">
        <v>336</v>
      </c>
      <c r="L112" s="4" t="s">
        <v>111</v>
      </c>
      <c r="M112" s="5" t="s">
        <v>112</v>
      </c>
    </row>
    <row r="113" customFormat="false" ht="23.85" hidden="false" customHeight="false" outlineLevel="0" collapsed="false">
      <c r="A113" s="5" t="n">
        <v>109</v>
      </c>
      <c r="B113" s="4" t="s">
        <v>12</v>
      </c>
      <c r="C113" s="4" t="s">
        <v>106</v>
      </c>
      <c r="D113" s="4" t="s">
        <v>22</v>
      </c>
      <c r="E113" s="4" t="s">
        <v>23</v>
      </c>
      <c r="F113" s="5" t="s">
        <v>330</v>
      </c>
      <c r="G113" s="4"/>
      <c r="H113" s="5" t="s">
        <v>122</v>
      </c>
      <c r="I113" s="4" t="s">
        <v>337</v>
      </c>
      <c r="J113" s="4" t="s">
        <v>7</v>
      </c>
      <c r="K113" s="4" t="s">
        <v>338</v>
      </c>
      <c r="L113" s="4" t="s">
        <v>111</v>
      </c>
      <c r="M113" s="5" t="s">
        <v>112</v>
      </c>
    </row>
    <row r="114" customFormat="false" ht="23.85" hidden="false" customHeight="false" outlineLevel="0" collapsed="false">
      <c r="A114" s="5" t="n">
        <v>110</v>
      </c>
      <c r="B114" s="4" t="s">
        <v>12</v>
      </c>
      <c r="C114" s="4" t="s">
        <v>106</v>
      </c>
      <c r="D114" s="4" t="s">
        <v>22</v>
      </c>
      <c r="E114" s="4" t="s">
        <v>23</v>
      </c>
      <c r="F114" s="5" t="s">
        <v>330</v>
      </c>
      <c r="G114" s="4"/>
      <c r="H114" s="5" t="s">
        <v>124</v>
      </c>
      <c r="I114" s="4" t="s">
        <v>339</v>
      </c>
      <c r="J114" s="4" t="s">
        <v>7</v>
      </c>
      <c r="K114" s="4" t="s">
        <v>338</v>
      </c>
      <c r="L114" s="4" t="s">
        <v>111</v>
      </c>
      <c r="M114" s="5" t="s">
        <v>112</v>
      </c>
    </row>
    <row r="115" customFormat="false" ht="23.85" hidden="false" customHeight="false" outlineLevel="0" collapsed="false">
      <c r="A115" s="5" t="n">
        <v>111</v>
      </c>
      <c r="B115" s="4" t="s">
        <v>12</v>
      </c>
      <c r="C115" s="4" t="s">
        <v>106</v>
      </c>
      <c r="D115" s="4" t="s">
        <v>22</v>
      </c>
      <c r="E115" s="4" t="s">
        <v>23</v>
      </c>
      <c r="F115" s="5" t="s">
        <v>330</v>
      </c>
      <c r="G115" s="4"/>
      <c r="H115" s="5" t="s">
        <v>126</v>
      </c>
      <c r="I115" s="4" t="s">
        <v>340</v>
      </c>
      <c r="J115" s="4" t="s">
        <v>7</v>
      </c>
      <c r="K115" s="4" t="s">
        <v>338</v>
      </c>
      <c r="L115" s="4" t="s">
        <v>111</v>
      </c>
      <c r="M115" s="5" t="s">
        <v>112</v>
      </c>
    </row>
    <row r="116" customFormat="false" ht="23.85" hidden="false" customHeight="false" outlineLevel="0" collapsed="false">
      <c r="A116" s="5" t="n">
        <v>112</v>
      </c>
      <c r="B116" s="4" t="s">
        <v>12</v>
      </c>
      <c r="C116" s="4" t="s">
        <v>106</v>
      </c>
      <c r="D116" s="4" t="s">
        <v>22</v>
      </c>
      <c r="E116" s="4" t="s">
        <v>23</v>
      </c>
      <c r="F116" s="5" t="s">
        <v>330</v>
      </c>
      <c r="G116" s="4"/>
      <c r="H116" s="5" t="s">
        <v>129</v>
      </c>
      <c r="I116" s="4" t="s">
        <v>341</v>
      </c>
      <c r="J116" s="4" t="s">
        <v>7</v>
      </c>
      <c r="K116" s="4" t="s">
        <v>133</v>
      </c>
      <c r="L116" s="4" t="s">
        <v>111</v>
      </c>
      <c r="M116" s="5" t="s">
        <v>112</v>
      </c>
    </row>
    <row r="117" customFormat="false" ht="23.85" hidden="false" customHeight="false" outlineLevel="0" collapsed="false">
      <c r="A117" s="5" t="n">
        <v>113</v>
      </c>
      <c r="B117" s="4" t="s">
        <v>12</v>
      </c>
      <c r="C117" s="4" t="s">
        <v>106</v>
      </c>
      <c r="D117" s="4" t="s">
        <v>22</v>
      </c>
      <c r="E117" s="4" t="s">
        <v>23</v>
      </c>
      <c r="F117" s="5" t="s">
        <v>330</v>
      </c>
      <c r="G117" s="4"/>
      <c r="H117" s="5" t="s">
        <v>131</v>
      </c>
      <c r="I117" s="4" t="s">
        <v>342</v>
      </c>
      <c r="J117" s="4" t="s">
        <v>7</v>
      </c>
      <c r="K117" s="4" t="s">
        <v>306</v>
      </c>
      <c r="L117" s="4" t="s">
        <v>111</v>
      </c>
      <c r="M117" s="5" t="s">
        <v>112</v>
      </c>
    </row>
    <row r="118" customFormat="false" ht="23.85" hidden="false" customHeight="false" outlineLevel="0" collapsed="false">
      <c r="A118" s="5" t="n">
        <v>114</v>
      </c>
      <c r="B118" s="4" t="s">
        <v>12</v>
      </c>
      <c r="C118" s="4" t="s">
        <v>106</v>
      </c>
      <c r="D118" s="4" t="s">
        <v>22</v>
      </c>
      <c r="E118" s="4" t="s">
        <v>23</v>
      </c>
      <c r="F118" s="5" t="s">
        <v>330</v>
      </c>
      <c r="G118" s="4"/>
      <c r="H118" s="5" t="s">
        <v>134</v>
      </c>
      <c r="I118" s="4" t="s">
        <v>343</v>
      </c>
      <c r="J118" s="4" t="s">
        <v>7</v>
      </c>
      <c r="K118" s="4" t="s">
        <v>344</v>
      </c>
      <c r="L118" s="4" t="s">
        <v>111</v>
      </c>
      <c r="M118" s="5" t="s">
        <v>112</v>
      </c>
    </row>
    <row r="119" customFormat="false" ht="23.85" hidden="false" customHeight="false" outlineLevel="0" collapsed="false">
      <c r="A119" s="5" t="n">
        <v>115</v>
      </c>
      <c r="B119" s="4" t="s">
        <v>12</v>
      </c>
      <c r="C119" s="4" t="s">
        <v>106</v>
      </c>
      <c r="D119" s="4" t="s">
        <v>22</v>
      </c>
      <c r="E119" s="4" t="s">
        <v>23</v>
      </c>
      <c r="F119" s="5" t="s">
        <v>330</v>
      </c>
      <c r="G119" s="4"/>
      <c r="H119" s="5" t="s">
        <v>136</v>
      </c>
      <c r="I119" s="4" t="s">
        <v>345</v>
      </c>
      <c r="J119" s="4" t="s">
        <v>7</v>
      </c>
      <c r="K119" s="4" t="s">
        <v>306</v>
      </c>
      <c r="L119" s="4" t="s">
        <v>111</v>
      </c>
      <c r="M119" s="5" t="s">
        <v>112</v>
      </c>
    </row>
    <row r="120" customFormat="false" ht="23.85" hidden="false" customHeight="false" outlineLevel="0" collapsed="false">
      <c r="A120" s="5" t="n">
        <v>116</v>
      </c>
      <c r="B120" s="4" t="s">
        <v>12</v>
      </c>
      <c r="C120" s="4" t="s">
        <v>106</v>
      </c>
      <c r="D120" s="4" t="s">
        <v>22</v>
      </c>
      <c r="E120" s="4" t="s">
        <v>23</v>
      </c>
      <c r="F120" s="5" t="s">
        <v>330</v>
      </c>
      <c r="G120" s="4"/>
      <c r="H120" s="5" t="s">
        <v>139</v>
      </c>
      <c r="I120" s="4" t="s">
        <v>346</v>
      </c>
      <c r="J120" s="4" t="s">
        <v>7</v>
      </c>
      <c r="K120" s="4" t="s">
        <v>306</v>
      </c>
      <c r="L120" s="4" t="s">
        <v>111</v>
      </c>
      <c r="M120" s="5" t="s">
        <v>112</v>
      </c>
    </row>
    <row r="121" customFormat="false" ht="23.85" hidden="false" customHeight="false" outlineLevel="0" collapsed="false">
      <c r="A121" s="5" t="n">
        <v>117</v>
      </c>
      <c r="B121" s="4" t="s">
        <v>12</v>
      </c>
      <c r="C121" s="4" t="s">
        <v>106</v>
      </c>
      <c r="D121" s="4" t="s">
        <v>22</v>
      </c>
      <c r="E121" s="4" t="s">
        <v>23</v>
      </c>
      <c r="F121" s="5" t="s">
        <v>330</v>
      </c>
      <c r="G121" s="4"/>
      <c r="H121" s="5" t="s">
        <v>142</v>
      </c>
      <c r="I121" s="4" t="s">
        <v>347</v>
      </c>
      <c r="J121" s="4" t="s">
        <v>7</v>
      </c>
      <c r="K121" s="4" t="s">
        <v>306</v>
      </c>
      <c r="L121" s="4" t="s">
        <v>111</v>
      </c>
      <c r="M121" s="5" t="s">
        <v>112</v>
      </c>
    </row>
    <row r="122" customFormat="false" ht="23.85" hidden="false" customHeight="false" outlineLevel="0" collapsed="false">
      <c r="A122" s="5" t="n">
        <v>118</v>
      </c>
      <c r="B122" s="4" t="s">
        <v>12</v>
      </c>
      <c r="C122" s="4" t="s">
        <v>106</v>
      </c>
      <c r="D122" s="4" t="s">
        <v>22</v>
      </c>
      <c r="E122" s="4" t="s">
        <v>23</v>
      </c>
      <c r="F122" s="5" t="s">
        <v>330</v>
      </c>
      <c r="G122" s="4"/>
      <c r="H122" s="5" t="s">
        <v>144</v>
      </c>
      <c r="I122" s="4" t="s">
        <v>348</v>
      </c>
      <c r="J122" s="4" t="s">
        <v>162</v>
      </c>
      <c r="K122" s="4" t="s">
        <v>349</v>
      </c>
      <c r="L122" s="4" t="s">
        <v>164</v>
      </c>
      <c r="M122" s="5" t="s">
        <v>112</v>
      </c>
    </row>
    <row r="123" customFormat="false" ht="23.85" hidden="false" customHeight="false" outlineLevel="0" collapsed="false">
      <c r="A123" s="5" t="n">
        <v>119</v>
      </c>
      <c r="B123" s="4" t="s">
        <v>12</v>
      </c>
      <c r="C123" s="4" t="s">
        <v>106</v>
      </c>
      <c r="D123" s="4" t="s">
        <v>22</v>
      </c>
      <c r="E123" s="4" t="s">
        <v>23</v>
      </c>
      <c r="F123" s="5" t="s">
        <v>330</v>
      </c>
      <c r="G123" s="4"/>
      <c r="H123" s="5" t="s">
        <v>147</v>
      </c>
      <c r="I123" s="4" t="s">
        <v>350</v>
      </c>
      <c r="J123" s="4" t="s">
        <v>162</v>
      </c>
      <c r="K123" s="4" t="s">
        <v>351</v>
      </c>
      <c r="L123" s="4" t="s">
        <v>164</v>
      </c>
      <c r="M123" s="5" t="s">
        <v>112</v>
      </c>
    </row>
    <row r="124" customFormat="false" ht="23.85" hidden="false" customHeight="false" outlineLevel="0" collapsed="false">
      <c r="A124" s="5" t="n">
        <v>120</v>
      </c>
      <c r="B124" s="4" t="s">
        <v>12</v>
      </c>
      <c r="C124" s="4" t="s">
        <v>106</v>
      </c>
      <c r="D124" s="4" t="s">
        <v>22</v>
      </c>
      <c r="E124" s="4" t="s">
        <v>23</v>
      </c>
      <c r="F124" s="5" t="s">
        <v>330</v>
      </c>
      <c r="G124" s="4"/>
      <c r="H124" s="5" t="s">
        <v>150</v>
      </c>
      <c r="I124" s="4" t="s">
        <v>352</v>
      </c>
      <c r="J124" s="4" t="s">
        <v>162</v>
      </c>
      <c r="K124" s="4" t="s">
        <v>353</v>
      </c>
      <c r="L124" s="4" t="s">
        <v>164</v>
      </c>
      <c r="M124" s="5" t="s">
        <v>112</v>
      </c>
    </row>
    <row r="125" customFormat="false" ht="23.85" hidden="false" customHeight="false" outlineLevel="0" collapsed="false">
      <c r="A125" s="5" t="n">
        <v>121</v>
      </c>
      <c r="B125" s="4" t="s">
        <v>12</v>
      </c>
      <c r="C125" s="4" t="s">
        <v>106</v>
      </c>
      <c r="D125" s="4" t="s">
        <v>22</v>
      </c>
      <c r="E125" s="4" t="s">
        <v>23</v>
      </c>
      <c r="F125" s="5" t="s">
        <v>330</v>
      </c>
      <c r="G125" s="4"/>
      <c r="H125" s="5" t="s">
        <v>153</v>
      </c>
      <c r="I125" s="4" t="s">
        <v>354</v>
      </c>
      <c r="J125" s="4" t="s">
        <v>162</v>
      </c>
      <c r="K125" s="4" t="s">
        <v>355</v>
      </c>
      <c r="L125" s="4" t="s">
        <v>164</v>
      </c>
      <c r="M125" s="5" t="s">
        <v>112</v>
      </c>
    </row>
    <row r="126" customFormat="false" ht="23.85" hidden="false" customHeight="false" outlineLevel="0" collapsed="false">
      <c r="A126" s="5" t="n">
        <v>122</v>
      </c>
      <c r="B126" s="4" t="s">
        <v>12</v>
      </c>
      <c r="C126" s="4" t="s">
        <v>106</v>
      </c>
      <c r="D126" s="4" t="s">
        <v>22</v>
      </c>
      <c r="E126" s="4" t="s">
        <v>23</v>
      </c>
      <c r="F126" s="5" t="s">
        <v>330</v>
      </c>
      <c r="G126" s="4"/>
      <c r="H126" s="5" t="s">
        <v>155</v>
      </c>
      <c r="I126" s="4" t="s">
        <v>356</v>
      </c>
      <c r="J126" s="4" t="s">
        <v>162</v>
      </c>
      <c r="K126" s="4" t="s">
        <v>357</v>
      </c>
      <c r="L126" s="4" t="s">
        <v>164</v>
      </c>
      <c r="M126" s="5" t="s">
        <v>112</v>
      </c>
    </row>
    <row r="127" customFormat="false" ht="23.85" hidden="false" customHeight="false" outlineLevel="0" collapsed="false">
      <c r="A127" s="5" t="n">
        <v>123</v>
      </c>
      <c r="B127" s="4" t="s">
        <v>12</v>
      </c>
      <c r="C127" s="4" t="s">
        <v>106</v>
      </c>
      <c r="D127" s="4" t="s">
        <v>22</v>
      </c>
      <c r="E127" s="4" t="s">
        <v>23</v>
      </c>
      <c r="F127" s="5" t="s">
        <v>330</v>
      </c>
      <c r="G127" s="4"/>
      <c r="H127" s="5" t="s">
        <v>158</v>
      </c>
      <c r="I127" s="4" t="s">
        <v>358</v>
      </c>
      <c r="J127" s="4" t="s">
        <v>162</v>
      </c>
      <c r="K127" s="4" t="s">
        <v>359</v>
      </c>
      <c r="L127" s="4" t="s">
        <v>164</v>
      </c>
      <c r="M127" s="5" t="s">
        <v>112</v>
      </c>
    </row>
    <row r="128" customFormat="false" ht="23.85" hidden="false" customHeight="false" outlineLevel="0" collapsed="false">
      <c r="A128" s="5" t="n">
        <v>124</v>
      </c>
      <c r="B128" s="4" t="s">
        <v>12</v>
      </c>
      <c r="C128" s="4" t="s">
        <v>106</v>
      </c>
      <c r="D128" s="4" t="s">
        <v>22</v>
      </c>
      <c r="E128" s="4" t="s">
        <v>23</v>
      </c>
      <c r="F128" s="5" t="s">
        <v>330</v>
      </c>
      <c r="G128" s="4"/>
      <c r="H128" s="5" t="s">
        <v>160</v>
      </c>
      <c r="I128" s="4" t="s">
        <v>360</v>
      </c>
      <c r="J128" s="4" t="s">
        <v>162</v>
      </c>
      <c r="K128" s="4" t="s">
        <v>361</v>
      </c>
      <c r="L128" s="4" t="s">
        <v>164</v>
      </c>
      <c r="M128" s="5" t="s">
        <v>112</v>
      </c>
    </row>
    <row r="129" customFormat="false" ht="23.85" hidden="false" customHeight="false" outlineLevel="0" collapsed="false">
      <c r="A129" s="5" t="n">
        <v>125</v>
      </c>
      <c r="B129" s="4" t="s">
        <v>12</v>
      </c>
      <c r="C129" s="4" t="s">
        <v>106</v>
      </c>
      <c r="D129" s="4" t="s">
        <v>22</v>
      </c>
      <c r="E129" s="4" t="s">
        <v>23</v>
      </c>
      <c r="F129" s="5" t="s">
        <v>330</v>
      </c>
      <c r="G129" s="4"/>
      <c r="H129" s="5" t="s">
        <v>165</v>
      </c>
      <c r="I129" s="4" t="s">
        <v>362</v>
      </c>
      <c r="J129" s="4" t="s">
        <v>162</v>
      </c>
      <c r="K129" s="4" t="s">
        <v>363</v>
      </c>
      <c r="L129" s="4" t="s">
        <v>164</v>
      </c>
      <c r="M129" s="5" t="s">
        <v>112</v>
      </c>
    </row>
    <row r="130" customFormat="false" ht="23.85" hidden="false" customHeight="false" outlineLevel="0" collapsed="false">
      <c r="A130" s="5" t="n">
        <v>126</v>
      </c>
      <c r="B130" s="4" t="s">
        <v>12</v>
      </c>
      <c r="C130" s="4" t="s">
        <v>106</v>
      </c>
      <c r="D130" s="4" t="s">
        <v>22</v>
      </c>
      <c r="E130" s="4" t="s">
        <v>23</v>
      </c>
      <c r="F130" s="5" t="s">
        <v>330</v>
      </c>
      <c r="G130" s="4"/>
      <c r="H130" s="5" t="s">
        <v>168</v>
      </c>
      <c r="I130" s="4" t="s">
        <v>364</v>
      </c>
      <c r="J130" s="4" t="s">
        <v>162</v>
      </c>
      <c r="K130" s="4" t="s">
        <v>365</v>
      </c>
      <c r="L130" s="4" t="s">
        <v>195</v>
      </c>
      <c r="M130" s="5" t="s">
        <v>112</v>
      </c>
    </row>
    <row r="131" customFormat="false" ht="23.85" hidden="false" customHeight="false" outlineLevel="0" collapsed="false">
      <c r="A131" s="5" t="n">
        <v>127</v>
      </c>
      <c r="B131" s="4" t="s">
        <v>12</v>
      </c>
      <c r="C131" s="4" t="s">
        <v>106</v>
      </c>
      <c r="D131" s="4" t="s">
        <v>22</v>
      </c>
      <c r="E131" s="4" t="s">
        <v>23</v>
      </c>
      <c r="F131" s="5" t="s">
        <v>330</v>
      </c>
      <c r="G131" s="4"/>
      <c r="H131" s="5" t="s">
        <v>171</v>
      </c>
      <c r="I131" s="4" t="s">
        <v>366</v>
      </c>
      <c r="J131" s="4" t="s">
        <v>162</v>
      </c>
      <c r="K131" s="4" t="s">
        <v>367</v>
      </c>
      <c r="L131" s="4" t="s">
        <v>368</v>
      </c>
      <c r="M131" s="5" t="s">
        <v>112</v>
      </c>
    </row>
    <row r="132" customFormat="false" ht="23.85" hidden="false" customHeight="false" outlineLevel="0" collapsed="false">
      <c r="A132" s="5" t="n">
        <v>128</v>
      </c>
      <c r="B132" s="4" t="s">
        <v>12</v>
      </c>
      <c r="C132" s="4" t="s">
        <v>106</v>
      </c>
      <c r="D132" s="4" t="s">
        <v>22</v>
      </c>
      <c r="E132" s="4" t="s">
        <v>23</v>
      </c>
      <c r="F132" s="5" t="s">
        <v>330</v>
      </c>
      <c r="G132" s="4"/>
      <c r="H132" s="5" t="s">
        <v>174</v>
      </c>
      <c r="I132" s="4" t="s">
        <v>369</v>
      </c>
      <c r="J132" s="4" t="s">
        <v>162</v>
      </c>
      <c r="K132" s="4" t="s">
        <v>370</v>
      </c>
      <c r="L132" s="4" t="s">
        <v>368</v>
      </c>
      <c r="M132" s="5" t="s">
        <v>112</v>
      </c>
    </row>
    <row r="133" customFormat="false" ht="57.45" hidden="false" customHeight="false" outlineLevel="0" collapsed="false">
      <c r="A133" s="5" t="n">
        <v>129</v>
      </c>
      <c r="B133" s="4" t="s">
        <v>12</v>
      </c>
      <c r="C133" s="4" t="s">
        <v>106</v>
      </c>
      <c r="D133" s="4" t="s">
        <v>22</v>
      </c>
      <c r="E133" s="4" t="s">
        <v>23</v>
      </c>
      <c r="F133" s="5" t="s">
        <v>330</v>
      </c>
      <c r="G133" s="4"/>
      <c r="H133" s="5" t="s">
        <v>202</v>
      </c>
      <c r="I133" s="4" t="s">
        <v>371</v>
      </c>
      <c r="J133" s="4" t="s">
        <v>9</v>
      </c>
      <c r="K133" s="4" t="s">
        <v>372</v>
      </c>
      <c r="L133" s="4" t="s">
        <v>111</v>
      </c>
      <c r="M133" s="5" t="s">
        <v>205</v>
      </c>
    </row>
    <row r="134" customFormat="false" ht="46.25" hidden="false" customHeight="false" outlineLevel="0" collapsed="false">
      <c r="A134" s="5" t="n">
        <v>130</v>
      </c>
      <c r="B134" s="4" t="s">
        <v>12</v>
      </c>
      <c r="C134" s="4" t="s">
        <v>106</v>
      </c>
      <c r="D134" s="4" t="s">
        <v>22</v>
      </c>
      <c r="E134" s="4" t="s">
        <v>23</v>
      </c>
      <c r="F134" s="5" t="s">
        <v>330</v>
      </c>
      <c r="G134" s="4"/>
      <c r="H134" s="5" t="s">
        <v>206</v>
      </c>
      <c r="I134" s="4" t="s">
        <v>373</v>
      </c>
      <c r="J134" s="4" t="s">
        <v>9</v>
      </c>
      <c r="K134" s="4" t="s">
        <v>374</v>
      </c>
      <c r="L134" s="4" t="s">
        <v>111</v>
      </c>
      <c r="M134" s="5" t="s">
        <v>205</v>
      </c>
    </row>
    <row r="135" customFormat="false" ht="23.85" hidden="false" customHeight="false" outlineLevel="0" collapsed="false">
      <c r="A135" s="5" t="n">
        <v>131</v>
      </c>
      <c r="B135" s="4" t="s">
        <v>12</v>
      </c>
      <c r="C135" s="4" t="s">
        <v>106</v>
      </c>
      <c r="D135" s="4" t="s">
        <v>22</v>
      </c>
      <c r="E135" s="4" t="s">
        <v>23</v>
      </c>
      <c r="F135" s="5" t="s">
        <v>330</v>
      </c>
      <c r="G135" s="4"/>
      <c r="H135" s="5" t="s">
        <v>209</v>
      </c>
      <c r="I135" s="4" t="s">
        <v>375</v>
      </c>
      <c r="J135" s="4" t="s">
        <v>9</v>
      </c>
      <c r="K135" s="4" t="s">
        <v>376</v>
      </c>
      <c r="L135" s="4" t="s">
        <v>111</v>
      </c>
      <c r="M135" s="5" t="s">
        <v>205</v>
      </c>
    </row>
    <row r="136" customFormat="false" ht="23.85" hidden="false" customHeight="false" outlineLevel="0" collapsed="false">
      <c r="A136" s="5" t="n">
        <v>132</v>
      </c>
      <c r="B136" s="4" t="s">
        <v>12</v>
      </c>
      <c r="C136" s="4" t="s">
        <v>106</v>
      </c>
      <c r="D136" s="4" t="s">
        <v>22</v>
      </c>
      <c r="E136" s="4" t="s">
        <v>23</v>
      </c>
      <c r="F136" s="5" t="s">
        <v>330</v>
      </c>
      <c r="G136" s="4"/>
      <c r="H136" s="5" t="s">
        <v>212</v>
      </c>
      <c r="I136" s="4" t="s">
        <v>377</v>
      </c>
      <c r="J136" s="4" t="s">
        <v>9</v>
      </c>
      <c r="K136" s="4" t="s">
        <v>378</v>
      </c>
      <c r="L136" s="4" t="s">
        <v>111</v>
      </c>
      <c r="M136" s="5" t="s">
        <v>205</v>
      </c>
    </row>
    <row r="137" customFormat="false" ht="35.05" hidden="false" customHeight="false" outlineLevel="0" collapsed="false">
      <c r="A137" s="5" t="n">
        <v>133</v>
      </c>
      <c r="B137" s="4" t="s">
        <v>12</v>
      </c>
      <c r="C137" s="4" t="s">
        <v>106</v>
      </c>
      <c r="D137" s="4" t="s">
        <v>22</v>
      </c>
      <c r="E137" s="4" t="s">
        <v>23</v>
      </c>
      <c r="F137" s="5" t="s">
        <v>330</v>
      </c>
      <c r="G137" s="4"/>
      <c r="H137" s="5" t="s">
        <v>215</v>
      </c>
      <c r="I137" s="4" t="s">
        <v>379</v>
      </c>
      <c r="J137" s="4" t="s">
        <v>9</v>
      </c>
      <c r="K137" s="4" t="s">
        <v>380</v>
      </c>
      <c r="L137" s="4" t="s">
        <v>111</v>
      </c>
      <c r="M137" s="5" t="s">
        <v>205</v>
      </c>
    </row>
    <row r="138" customFormat="false" ht="35.05" hidden="false" customHeight="false" outlineLevel="0" collapsed="false">
      <c r="A138" s="5" t="n">
        <v>134</v>
      </c>
      <c r="B138" s="4" t="s">
        <v>12</v>
      </c>
      <c r="C138" s="4" t="s">
        <v>106</v>
      </c>
      <c r="D138" s="4" t="s">
        <v>22</v>
      </c>
      <c r="E138" s="4" t="s">
        <v>23</v>
      </c>
      <c r="F138" s="5" t="s">
        <v>330</v>
      </c>
      <c r="G138" s="4"/>
      <c r="H138" s="5" t="s">
        <v>218</v>
      </c>
      <c r="I138" s="4" t="s">
        <v>381</v>
      </c>
      <c r="J138" s="4" t="s">
        <v>9</v>
      </c>
      <c r="K138" s="4" t="s">
        <v>382</v>
      </c>
      <c r="L138" s="4" t="s">
        <v>111</v>
      </c>
      <c r="M138" s="5" t="s">
        <v>205</v>
      </c>
    </row>
    <row r="139" customFormat="false" ht="35.05" hidden="false" customHeight="false" outlineLevel="0" collapsed="false">
      <c r="A139" s="5" t="n">
        <v>135</v>
      </c>
      <c r="B139" s="4" t="s">
        <v>12</v>
      </c>
      <c r="C139" s="4" t="s">
        <v>106</v>
      </c>
      <c r="D139" s="4" t="s">
        <v>22</v>
      </c>
      <c r="E139" s="4" t="s">
        <v>23</v>
      </c>
      <c r="F139" s="5" t="s">
        <v>330</v>
      </c>
      <c r="G139" s="4"/>
      <c r="H139" s="5" t="s">
        <v>221</v>
      </c>
      <c r="I139" s="4" t="s">
        <v>383</v>
      </c>
      <c r="J139" s="4" t="s">
        <v>9</v>
      </c>
      <c r="K139" s="4" t="s">
        <v>384</v>
      </c>
      <c r="L139" s="4" t="s">
        <v>111</v>
      </c>
      <c r="M139" s="5" t="s">
        <v>205</v>
      </c>
    </row>
    <row r="140" customFormat="false" ht="23.85" hidden="false" customHeight="false" outlineLevel="0" collapsed="false">
      <c r="A140" s="5" t="n">
        <v>136</v>
      </c>
      <c r="B140" s="4" t="s">
        <v>12</v>
      </c>
      <c r="C140" s="4" t="s">
        <v>106</v>
      </c>
      <c r="D140" s="4" t="s">
        <v>24</v>
      </c>
      <c r="E140" s="4" t="s">
        <v>25</v>
      </c>
      <c r="F140" s="5" t="s">
        <v>385</v>
      </c>
      <c r="G140" s="4" t="s">
        <v>26</v>
      </c>
      <c r="H140" s="5" t="s">
        <v>108</v>
      </c>
      <c r="I140" s="4" t="s">
        <v>386</v>
      </c>
      <c r="J140" s="4" t="s">
        <v>7</v>
      </c>
      <c r="K140" s="4" t="s">
        <v>133</v>
      </c>
      <c r="L140" s="4" t="s">
        <v>111</v>
      </c>
      <c r="M140" s="5" t="s">
        <v>112</v>
      </c>
    </row>
    <row r="141" customFormat="false" ht="23.85" hidden="false" customHeight="false" outlineLevel="0" collapsed="false">
      <c r="A141" s="5" t="n">
        <v>137</v>
      </c>
      <c r="B141" s="4" t="s">
        <v>12</v>
      </c>
      <c r="C141" s="4" t="s">
        <v>106</v>
      </c>
      <c r="D141" s="4" t="s">
        <v>24</v>
      </c>
      <c r="E141" s="4" t="s">
        <v>25</v>
      </c>
      <c r="F141" s="5" t="s">
        <v>385</v>
      </c>
      <c r="G141" s="4" t="s">
        <v>26</v>
      </c>
      <c r="H141" s="5" t="s">
        <v>113</v>
      </c>
      <c r="I141" s="4" t="s">
        <v>387</v>
      </c>
      <c r="J141" s="4" t="s">
        <v>7</v>
      </c>
      <c r="K141" s="4" t="s">
        <v>133</v>
      </c>
      <c r="L141" s="4" t="s">
        <v>111</v>
      </c>
      <c r="M141" s="5" t="s">
        <v>112</v>
      </c>
    </row>
    <row r="142" customFormat="false" ht="23.85" hidden="false" customHeight="false" outlineLevel="0" collapsed="false">
      <c r="A142" s="5" t="n">
        <v>138</v>
      </c>
      <c r="B142" s="4" t="s">
        <v>12</v>
      </c>
      <c r="C142" s="4" t="s">
        <v>106</v>
      </c>
      <c r="D142" s="4" t="s">
        <v>24</v>
      </c>
      <c r="E142" s="4" t="s">
        <v>25</v>
      </c>
      <c r="F142" s="5" t="s">
        <v>385</v>
      </c>
      <c r="G142" s="4" t="s">
        <v>26</v>
      </c>
      <c r="H142" s="5" t="s">
        <v>115</v>
      </c>
      <c r="I142" s="4" t="s">
        <v>388</v>
      </c>
      <c r="J142" s="4" t="s">
        <v>7</v>
      </c>
      <c r="K142" s="4" t="s">
        <v>133</v>
      </c>
      <c r="L142" s="4" t="s">
        <v>111</v>
      </c>
      <c r="M142" s="5" t="s">
        <v>112</v>
      </c>
    </row>
    <row r="143" customFormat="false" ht="23.85" hidden="false" customHeight="false" outlineLevel="0" collapsed="false">
      <c r="A143" s="5" t="n">
        <v>139</v>
      </c>
      <c r="B143" s="4" t="s">
        <v>12</v>
      </c>
      <c r="C143" s="4" t="s">
        <v>106</v>
      </c>
      <c r="D143" s="4" t="s">
        <v>24</v>
      </c>
      <c r="E143" s="4" t="s">
        <v>25</v>
      </c>
      <c r="F143" s="5" t="s">
        <v>385</v>
      </c>
      <c r="G143" s="4" t="s">
        <v>26</v>
      </c>
      <c r="H143" s="5" t="s">
        <v>118</v>
      </c>
      <c r="I143" s="4" t="s">
        <v>389</v>
      </c>
      <c r="J143" s="4" t="s">
        <v>7</v>
      </c>
      <c r="K143" s="4" t="s">
        <v>133</v>
      </c>
      <c r="L143" s="4" t="s">
        <v>111</v>
      </c>
      <c r="M143" s="5" t="s">
        <v>112</v>
      </c>
    </row>
    <row r="144" customFormat="false" ht="23.85" hidden="false" customHeight="false" outlineLevel="0" collapsed="false">
      <c r="A144" s="5" t="n">
        <v>140</v>
      </c>
      <c r="B144" s="4" t="s">
        <v>12</v>
      </c>
      <c r="C144" s="4" t="s">
        <v>106</v>
      </c>
      <c r="D144" s="4" t="s">
        <v>24</v>
      </c>
      <c r="E144" s="4" t="s">
        <v>25</v>
      </c>
      <c r="F144" s="5" t="s">
        <v>385</v>
      </c>
      <c r="G144" s="4" t="s">
        <v>26</v>
      </c>
      <c r="H144" s="5" t="s">
        <v>120</v>
      </c>
      <c r="I144" s="4" t="s">
        <v>390</v>
      </c>
      <c r="J144" s="4" t="s">
        <v>7</v>
      </c>
      <c r="K144" s="4" t="s">
        <v>245</v>
      </c>
      <c r="L144" s="4" t="s">
        <v>111</v>
      </c>
      <c r="M144" s="5" t="s">
        <v>112</v>
      </c>
    </row>
    <row r="145" customFormat="false" ht="23.85" hidden="false" customHeight="false" outlineLevel="0" collapsed="false">
      <c r="A145" s="5" t="n">
        <v>141</v>
      </c>
      <c r="B145" s="4" t="s">
        <v>12</v>
      </c>
      <c r="C145" s="4" t="s">
        <v>106</v>
      </c>
      <c r="D145" s="4" t="s">
        <v>24</v>
      </c>
      <c r="E145" s="4" t="s">
        <v>25</v>
      </c>
      <c r="F145" s="5" t="s">
        <v>385</v>
      </c>
      <c r="G145" s="4" t="s">
        <v>26</v>
      </c>
      <c r="H145" s="5" t="s">
        <v>122</v>
      </c>
      <c r="I145" s="4" t="s">
        <v>391</v>
      </c>
      <c r="J145" s="4" t="s">
        <v>7</v>
      </c>
      <c r="K145" s="4" t="s">
        <v>245</v>
      </c>
      <c r="L145" s="4" t="s">
        <v>111</v>
      </c>
      <c r="M145" s="5" t="s">
        <v>112</v>
      </c>
    </row>
    <row r="146" customFormat="false" ht="23.85" hidden="false" customHeight="false" outlineLevel="0" collapsed="false">
      <c r="A146" s="5" t="n">
        <v>142</v>
      </c>
      <c r="B146" s="4" t="s">
        <v>12</v>
      </c>
      <c r="C146" s="4" t="s">
        <v>106</v>
      </c>
      <c r="D146" s="4" t="s">
        <v>24</v>
      </c>
      <c r="E146" s="4" t="s">
        <v>25</v>
      </c>
      <c r="F146" s="5" t="s">
        <v>385</v>
      </c>
      <c r="G146" s="4" t="s">
        <v>26</v>
      </c>
      <c r="H146" s="5" t="s">
        <v>124</v>
      </c>
      <c r="I146" s="4" t="s">
        <v>392</v>
      </c>
      <c r="J146" s="4" t="s">
        <v>7</v>
      </c>
      <c r="K146" s="4" t="s">
        <v>393</v>
      </c>
      <c r="L146" s="4" t="s">
        <v>111</v>
      </c>
      <c r="M146" s="5" t="s">
        <v>112</v>
      </c>
    </row>
    <row r="147" customFormat="false" ht="23.85" hidden="false" customHeight="false" outlineLevel="0" collapsed="false">
      <c r="A147" s="5" t="n">
        <v>143</v>
      </c>
      <c r="B147" s="4" t="s">
        <v>12</v>
      </c>
      <c r="C147" s="4" t="s">
        <v>106</v>
      </c>
      <c r="D147" s="4" t="s">
        <v>24</v>
      </c>
      <c r="E147" s="4" t="s">
        <v>25</v>
      </c>
      <c r="F147" s="5" t="s">
        <v>385</v>
      </c>
      <c r="G147" s="4" t="s">
        <v>26</v>
      </c>
      <c r="H147" s="5" t="s">
        <v>126</v>
      </c>
      <c r="I147" s="4" t="s">
        <v>394</v>
      </c>
      <c r="J147" s="4" t="s">
        <v>7</v>
      </c>
      <c r="K147" s="4" t="s">
        <v>336</v>
      </c>
      <c r="L147" s="4" t="s">
        <v>111</v>
      </c>
      <c r="M147" s="5" t="s">
        <v>112</v>
      </c>
    </row>
    <row r="148" customFormat="false" ht="23.85" hidden="false" customHeight="false" outlineLevel="0" collapsed="false">
      <c r="A148" s="5" t="n">
        <v>144</v>
      </c>
      <c r="B148" s="4" t="s">
        <v>12</v>
      </c>
      <c r="C148" s="4" t="s">
        <v>106</v>
      </c>
      <c r="D148" s="4" t="s">
        <v>24</v>
      </c>
      <c r="E148" s="4" t="s">
        <v>25</v>
      </c>
      <c r="F148" s="5" t="s">
        <v>385</v>
      </c>
      <c r="G148" s="4" t="s">
        <v>26</v>
      </c>
      <c r="H148" s="5" t="s">
        <v>129</v>
      </c>
      <c r="I148" s="4" t="s">
        <v>395</v>
      </c>
      <c r="J148" s="4" t="s">
        <v>162</v>
      </c>
      <c r="K148" s="4" t="s">
        <v>396</v>
      </c>
      <c r="L148" s="4" t="s">
        <v>195</v>
      </c>
      <c r="M148" s="5" t="s">
        <v>112</v>
      </c>
    </row>
    <row r="149" customFormat="false" ht="23.85" hidden="false" customHeight="false" outlineLevel="0" collapsed="false">
      <c r="A149" s="5" t="n">
        <v>145</v>
      </c>
      <c r="B149" s="4" t="s">
        <v>12</v>
      </c>
      <c r="C149" s="4" t="s">
        <v>106</v>
      </c>
      <c r="D149" s="4" t="s">
        <v>24</v>
      </c>
      <c r="E149" s="4" t="s">
        <v>25</v>
      </c>
      <c r="F149" s="5" t="s">
        <v>385</v>
      </c>
      <c r="G149" s="4" t="s">
        <v>26</v>
      </c>
      <c r="H149" s="5" t="s">
        <v>131</v>
      </c>
      <c r="I149" s="4" t="s">
        <v>397</v>
      </c>
      <c r="J149" s="4" t="s">
        <v>162</v>
      </c>
      <c r="K149" s="4" t="s">
        <v>398</v>
      </c>
      <c r="L149" s="4" t="s">
        <v>164</v>
      </c>
      <c r="M149" s="5" t="s">
        <v>112</v>
      </c>
    </row>
    <row r="150" customFormat="false" ht="46.25" hidden="false" customHeight="false" outlineLevel="0" collapsed="false">
      <c r="A150" s="5" t="n">
        <v>146</v>
      </c>
      <c r="B150" s="4" t="s">
        <v>12</v>
      </c>
      <c r="C150" s="4" t="s">
        <v>106</v>
      </c>
      <c r="D150" s="4" t="s">
        <v>24</v>
      </c>
      <c r="E150" s="4" t="s">
        <v>25</v>
      </c>
      <c r="F150" s="5" t="s">
        <v>385</v>
      </c>
      <c r="G150" s="4" t="s">
        <v>26</v>
      </c>
      <c r="H150" s="5" t="s">
        <v>202</v>
      </c>
      <c r="I150" s="4" t="s">
        <v>399</v>
      </c>
      <c r="J150" s="4" t="s">
        <v>9</v>
      </c>
      <c r="K150" s="4" t="s">
        <v>400</v>
      </c>
      <c r="L150" s="4" t="s">
        <v>111</v>
      </c>
      <c r="M150" s="5" t="s">
        <v>205</v>
      </c>
    </row>
    <row r="151" customFormat="false" ht="35.05" hidden="false" customHeight="false" outlineLevel="0" collapsed="false">
      <c r="A151" s="5" t="n">
        <v>147</v>
      </c>
      <c r="B151" s="4" t="s">
        <v>12</v>
      </c>
      <c r="C151" s="4" t="s">
        <v>106</v>
      </c>
      <c r="D151" s="4" t="s">
        <v>24</v>
      </c>
      <c r="E151" s="4" t="s">
        <v>25</v>
      </c>
      <c r="F151" s="5" t="s">
        <v>385</v>
      </c>
      <c r="G151" s="4" t="s">
        <v>26</v>
      </c>
      <c r="H151" s="5" t="s">
        <v>206</v>
      </c>
      <c r="I151" s="4" t="s">
        <v>401</v>
      </c>
      <c r="J151" s="4" t="s">
        <v>9</v>
      </c>
      <c r="K151" s="4" t="s">
        <v>402</v>
      </c>
      <c r="L151" s="4" t="s">
        <v>111</v>
      </c>
      <c r="M151" s="5" t="s">
        <v>205</v>
      </c>
    </row>
    <row r="152" customFormat="false" ht="23.85" hidden="false" customHeight="false" outlineLevel="0" collapsed="false">
      <c r="A152" s="5" t="n">
        <v>148</v>
      </c>
      <c r="B152" s="4" t="s">
        <v>12</v>
      </c>
      <c r="C152" s="4" t="s">
        <v>106</v>
      </c>
      <c r="D152" s="4" t="s">
        <v>24</v>
      </c>
      <c r="E152" s="4" t="s">
        <v>25</v>
      </c>
      <c r="F152" s="5" t="s">
        <v>385</v>
      </c>
      <c r="G152" s="4" t="s">
        <v>26</v>
      </c>
      <c r="H152" s="5" t="s">
        <v>209</v>
      </c>
      <c r="I152" s="4" t="s">
        <v>403</v>
      </c>
      <c r="J152" s="4" t="s">
        <v>9</v>
      </c>
      <c r="K152" s="4" t="s">
        <v>404</v>
      </c>
      <c r="L152" s="4" t="s">
        <v>111</v>
      </c>
      <c r="M152" s="5" t="s">
        <v>205</v>
      </c>
    </row>
    <row r="153" customFormat="false" ht="23.85" hidden="false" customHeight="false" outlineLevel="0" collapsed="false">
      <c r="A153" s="5" t="n">
        <v>149</v>
      </c>
      <c r="B153" s="4" t="s">
        <v>12</v>
      </c>
      <c r="C153" s="4" t="s">
        <v>106</v>
      </c>
      <c r="D153" s="4" t="s">
        <v>24</v>
      </c>
      <c r="E153" s="4" t="s">
        <v>25</v>
      </c>
      <c r="F153" s="5" t="s">
        <v>385</v>
      </c>
      <c r="G153" s="4" t="s">
        <v>26</v>
      </c>
      <c r="H153" s="5" t="s">
        <v>212</v>
      </c>
      <c r="I153" s="4" t="s">
        <v>405</v>
      </c>
      <c r="J153" s="4" t="s">
        <v>9</v>
      </c>
      <c r="K153" s="4" t="s">
        <v>406</v>
      </c>
      <c r="L153" s="4" t="s">
        <v>111</v>
      </c>
      <c r="M153" s="5" t="s">
        <v>205</v>
      </c>
    </row>
    <row r="154" customFormat="false" ht="23.85" hidden="false" customHeight="false" outlineLevel="0" collapsed="false">
      <c r="A154" s="5" t="n">
        <v>150</v>
      </c>
      <c r="B154" s="4" t="s">
        <v>12</v>
      </c>
      <c r="C154" s="4" t="s">
        <v>106</v>
      </c>
      <c r="D154" s="4" t="s">
        <v>27</v>
      </c>
      <c r="E154" s="4" t="s">
        <v>28</v>
      </c>
      <c r="F154" s="5" t="s">
        <v>407</v>
      </c>
      <c r="G154" s="4" t="s">
        <v>29</v>
      </c>
      <c r="H154" s="5" t="s">
        <v>108</v>
      </c>
      <c r="I154" s="4" t="s">
        <v>408</v>
      </c>
      <c r="J154" s="4" t="s">
        <v>162</v>
      </c>
      <c r="K154" s="4" t="s">
        <v>409</v>
      </c>
      <c r="L154" s="4" t="s">
        <v>164</v>
      </c>
      <c r="M154" s="5" t="s">
        <v>112</v>
      </c>
    </row>
    <row r="155" customFormat="false" ht="23.85" hidden="false" customHeight="false" outlineLevel="0" collapsed="false">
      <c r="A155" s="5" t="n">
        <v>151</v>
      </c>
      <c r="B155" s="4" t="s">
        <v>12</v>
      </c>
      <c r="C155" s="4" t="s">
        <v>106</v>
      </c>
      <c r="D155" s="4" t="s">
        <v>27</v>
      </c>
      <c r="E155" s="4" t="s">
        <v>28</v>
      </c>
      <c r="F155" s="5" t="s">
        <v>407</v>
      </c>
      <c r="G155" s="4" t="s">
        <v>29</v>
      </c>
      <c r="H155" s="5" t="s">
        <v>113</v>
      </c>
      <c r="I155" s="4" t="s">
        <v>410</v>
      </c>
      <c r="J155" s="4" t="s">
        <v>162</v>
      </c>
      <c r="K155" s="4" t="s">
        <v>411</v>
      </c>
      <c r="L155" s="4" t="s">
        <v>164</v>
      </c>
      <c r="M155" s="5" t="s">
        <v>112</v>
      </c>
    </row>
    <row r="156" customFormat="false" ht="23.85" hidden="false" customHeight="false" outlineLevel="0" collapsed="false">
      <c r="A156" s="5" t="n">
        <v>152</v>
      </c>
      <c r="B156" s="4" t="s">
        <v>12</v>
      </c>
      <c r="C156" s="4" t="s">
        <v>106</v>
      </c>
      <c r="D156" s="4" t="s">
        <v>27</v>
      </c>
      <c r="E156" s="4" t="s">
        <v>28</v>
      </c>
      <c r="F156" s="5" t="s">
        <v>407</v>
      </c>
      <c r="G156" s="4" t="s">
        <v>29</v>
      </c>
      <c r="H156" s="5" t="s">
        <v>115</v>
      </c>
      <c r="I156" s="4" t="s">
        <v>412</v>
      </c>
      <c r="J156" s="4" t="s">
        <v>162</v>
      </c>
      <c r="K156" s="4" t="s">
        <v>413</v>
      </c>
      <c r="L156" s="4" t="s">
        <v>164</v>
      </c>
      <c r="M156" s="5" t="s">
        <v>112</v>
      </c>
    </row>
    <row r="157" customFormat="false" ht="23.85" hidden="false" customHeight="false" outlineLevel="0" collapsed="false">
      <c r="A157" s="5" t="n">
        <v>153</v>
      </c>
      <c r="B157" s="4" t="s">
        <v>12</v>
      </c>
      <c r="C157" s="4" t="s">
        <v>106</v>
      </c>
      <c r="D157" s="4" t="s">
        <v>27</v>
      </c>
      <c r="E157" s="4" t="s">
        <v>28</v>
      </c>
      <c r="F157" s="5" t="s">
        <v>407</v>
      </c>
      <c r="G157" s="4" t="s">
        <v>29</v>
      </c>
      <c r="H157" s="5" t="s">
        <v>118</v>
      </c>
      <c r="I157" s="4" t="s">
        <v>414</v>
      </c>
      <c r="J157" s="4" t="s">
        <v>162</v>
      </c>
      <c r="K157" s="4" t="s">
        <v>415</v>
      </c>
      <c r="L157" s="4" t="s">
        <v>164</v>
      </c>
      <c r="M157" s="5" t="s">
        <v>112</v>
      </c>
    </row>
    <row r="158" customFormat="false" ht="23.85" hidden="false" customHeight="false" outlineLevel="0" collapsed="false">
      <c r="A158" s="5" t="n">
        <v>154</v>
      </c>
      <c r="B158" s="4" t="s">
        <v>12</v>
      </c>
      <c r="C158" s="4" t="s">
        <v>106</v>
      </c>
      <c r="D158" s="4" t="s">
        <v>27</v>
      </c>
      <c r="E158" s="4" t="s">
        <v>28</v>
      </c>
      <c r="F158" s="5" t="s">
        <v>407</v>
      </c>
      <c r="G158" s="4" t="s">
        <v>29</v>
      </c>
      <c r="H158" s="5" t="s">
        <v>120</v>
      </c>
      <c r="I158" s="4" t="s">
        <v>416</v>
      </c>
      <c r="J158" s="4" t="s">
        <v>162</v>
      </c>
      <c r="K158" s="4" t="s">
        <v>417</v>
      </c>
      <c r="L158" s="4" t="s">
        <v>164</v>
      </c>
      <c r="M158" s="5" t="s">
        <v>112</v>
      </c>
    </row>
    <row r="159" customFormat="false" ht="23.85" hidden="false" customHeight="false" outlineLevel="0" collapsed="false">
      <c r="A159" s="5" t="n">
        <v>155</v>
      </c>
      <c r="B159" s="4" t="s">
        <v>12</v>
      </c>
      <c r="C159" s="4" t="s">
        <v>106</v>
      </c>
      <c r="D159" s="4" t="s">
        <v>27</v>
      </c>
      <c r="E159" s="4" t="s">
        <v>28</v>
      </c>
      <c r="F159" s="5" t="s">
        <v>407</v>
      </c>
      <c r="G159" s="4" t="s">
        <v>29</v>
      </c>
      <c r="H159" s="5" t="s">
        <v>122</v>
      </c>
      <c r="I159" s="4" t="s">
        <v>418</v>
      </c>
      <c r="J159" s="4" t="s">
        <v>162</v>
      </c>
      <c r="K159" s="4" t="s">
        <v>419</v>
      </c>
      <c r="L159" s="4" t="s">
        <v>164</v>
      </c>
      <c r="M159" s="5" t="s">
        <v>112</v>
      </c>
    </row>
    <row r="160" customFormat="false" ht="23.85" hidden="false" customHeight="false" outlineLevel="0" collapsed="false">
      <c r="A160" s="5" t="n">
        <v>156</v>
      </c>
      <c r="B160" s="4" t="s">
        <v>12</v>
      </c>
      <c r="C160" s="4" t="s">
        <v>106</v>
      </c>
      <c r="D160" s="4" t="s">
        <v>27</v>
      </c>
      <c r="E160" s="4" t="s">
        <v>28</v>
      </c>
      <c r="F160" s="5" t="s">
        <v>407</v>
      </c>
      <c r="G160" s="4" t="s">
        <v>29</v>
      </c>
      <c r="H160" s="5" t="s">
        <v>124</v>
      </c>
      <c r="I160" s="4" t="s">
        <v>420</v>
      </c>
      <c r="J160" s="4" t="s">
        <v>162</v>
      </c>
      <c r="K160" s="4" t="s">
        <v>421</v>
      </c>
      <c r="L160" s="4" t="s">
        <v>164</v>
      </c>
      <c r="M160" s="5" t="s">
        <v>112</v>
      </c>
    </row>
    <row r="161" customFormat="false" ht="23.85" hidden="false" customHeight="false" outlineLevel="0" collapsed="false">
      <c r="A161" s="5" t="n">
        <v>157</v>
      </c>
      <c r="B161" s="4" t="s">
        <v>12</v>
      </c>
      <c r="C161" s="4" t="s">
        <v>106</v>
      </c>
      <c r="D161" s="4" t="s">
        <v>27</v>
      </c>
      <c r="E161" s="4" t="s">
        <v>28</v>
      </c>
      <c r="F161" s="5" t="s">
        <v>407</v>
      </c>
      <c r="G161" s="4" t="s">
        <v>29</v>
      </c>
      <c r="H161" s="5" t="s">
        <v>126</v>
      </c>
      <c r="I161" s="4" t="s">
        <v>422</v>
      </c>
      <c r="J161" s="4" t="s">
        <v>162</v>
      </c>
      <c r="K161" s="4" t="s">
        <v>423</v>
      </c>
      <c r="L161" s="4" t="s">
        <v>164</v>
      </c>
      <c r="M161" s="5" t="s">
        <v>112</v>
      </c>
    </row>
    <row r="162" customFormat="false" ht="23.85" hidden="false" customHeight="false" outlineLevel="0" collapsed="false">
      <c r="A162" s="5" t="n">
        <v>158</v>
      </c>
      <c r="B162" s="4" t="s">
        <v>12</v>
      </c>
      <c r="C162" s="4" t="s">
        <v>106</v>
      </c>
      <c r="D162" s="4" t="s">
        <v>27</v>
      </c>
      <c r="E162" s="4" t="s">
        <v>28</v>
      </c>
      <c r="F162" s="5" t="s">
        <v>407</v>
      </c>
      <c r="G162" s="4" t="s">
        <v>29</v>
      </c>
      <c r="H162" s="5" t="s">
        <v>129</v>
      </c>
      <c r="I162" s="4" t="s">
        <v>424</v>
      </c>
      <c r="J162" s="4" t="s">
        <v>162</v>
      </c>
      <c r="K162" s="4" t="s">
        <v>425</v>
      </c>
      <c r="L162" s="4" t="s">
        <v>164</v>
      </c>
      <c r="M162" s="5" t="s">
        <v>112</v>
      </c>
    </row>
    <row r="163" customFormat="false" ht="23.85" hidden="false" customHeight="false" outlineLevel="0" collapsed="false">
      <c r="A163" s="5" t="n">
        <v>159</v>
      </c>
      <c r="B163" s="4" t="s">
        <v>12</v>
      </c>
      <c r="C163" s="4" t="s">
        <v>106</v>
      </c>
      <c r="D163" s="4" t="s">
        <v>27</v>
      </c>
      <c r="E163" s="4" t="s">
        <v>28</v>
      </c>
      <c r="F163" s="5" t="s">
        <v>407</v>
      </c>
      <c r="G163" s="4" t="s">
        <v>29</v>
      </c>
      <c r="H163" s="5" t="s">
        <v>131</v>
      </c>
      <c r="I163" s="4" t="s">
        <v>426</v>
      </c>
      <c r="J163" s="4" t="s">
        <v>162</v>
      </c>
      <c r="K163" s="4" t="s">
        <v>427</v>
      </c>
      <c r="L163" s="4" t="s">
        <v>164</v>
      </c>
      <c r="M163" s="5" t="s">
        <v>112</v>
      </c>
    </row>
    <row r="164" customFormat="false" ht="23.85" hidden="false" customHeight="false" outlineLevel="0" collapsed="false">
      <c r="A164" s="5" t="n">
        <v>160</v>
      </c>
      <c r="B164" s="4" t="s">
        <v>12</v>
      </c>
      <c r="C164" s="4" t="s">
        <v>106</v>
      </c>
      <c r="D164" s="4" t="s">
        <v>27</v>
      </c>
      <c r="E164" s="4" t="s">
        <v>28</v>
      </c>
      <c r="F164" s="5" t="s">
        <v>407</v>
      </c>
      <c r="G164" s="4" t="s">
        <v>29</v>
      </c>
      <c r="H164" s="5" t="s">
        <v>134</v>
      </c>
      <c r="I164" s="4" t="s">
        <v>428</v>
      </c>
      <c r="J164" s="4" t="s">
        <v>162</v>
      </c>
      <c r="K164" s="4" t="s">
        <v>429</v>
      </c>
      <c r="L164" s="4" t="s">
        <v>164</v>
      </c>
      <c r="M164" s="5" t="s">
        <v>112</v>
      </c>
    </row>
    <row r="165" customFormat="false" ht="23.85" hidden="false" customHeight="false" outlineLevel="0" collapsed="false">
      <c r="A165" s="5" t="n">
        <v>161</v>
      </c>
      <c r="B165" s="4" t="s">
        <v>12</v>
      </c>
      <c r="C165" s="4" t="s">
        <v>106</v>
      </c>
      <c r="D165" s="4" t="s">
        <v>30</v>
      </c>
      <c r="E165" s="4" t="s">
        <v>31</v>
      </c>
      <c r="F165" s="5" t="s">
        <v>430</v>
      </c>
      <c r="G165" s="4" t="s">
        <v>29</v>
      </c>
      <c r="H165" s="5" t="s">
        <v>108</v>
      </c>
      <c r="I165" s="4" t="s">
        <v>431</v>
      </c>
      <c r="J165" s="4" t="s">
        <v>162</v>
      </c>
      <c r="K165" s="4" t="s">
        <v>432</v>
      </c>
      <c r="L165" s="4" t="s">
        <v>164</v>
      </c>
      <c r="M165" s="5" t="s">
        <v>112</v>
      </c>
    </row>
    <row r="166" customFormat="false" ht="23.85" hidden="false" customHeight="false" outlineLevel="0" collapsed="false">
      <c r="A166" s="5" t="n">
        <v>162</v>
      </c>
      <c r="B166" s="4" t="s">
        <v>12</v>
      </c>
      <c r="C166" s="4" t="s">
        <v>106</v>
      </c>
      <c r="D166" s="4" t="s">
        <v>30</v>
      </c>
      <c r="E166" s="4" t="s">
        <v>31</v>
      </c>
      <c r="F166" s="5" t="s">
        <v>430</v>
      </c>
      <c r="G166" s="4" t="s">
        <v>29</v>
      </c>
      <c r="H166" s="5" t="s">
        <v>113</v>
      </c>
      <c r="I166" s="4" t="s">
        <v>433</v>
      </c>
      <c r="J166" s="4" t="s">
        <v>162</v>
      </c>
      <c r="K166" s="4" t="s">
        <v>434</v>
      </c>
      <c r="L166" s="4" t="s">
        <v>164</v>
      </c>
      <c r="M166" s="5" t="s">
        <v>112</v>
      </c>
    </row>
    <row r="167" customFormat="false" ht="23.85" hidden="false" customHeight="false" outlineLevel="0" collapsed="false">
      <c r="A167" s="5" t="n">
        <v>163</v>
      </c>
      <c r="B167" s="4" t="s">
        <v>12</v>
      </c>
      <c r="C167" s="4" t="s">
        <v>106</v>
      </c>
      <c r="D167" s="4" t="s">
        <v>30</v>
      </c>
      <c r="E167" s="4" t="s">
        <v>31</v>
      </c>
      <c r="F167" s="5" t="s">
        <v>430</v>
      </c>
      <c r="G167" s="4" t="s">
        <v>29</v>
      </c>
      <c r="H167" s="5" t="s">
        <v>115</v>
      </c>
      <c r="I167" s="4" t="s">
        <v>435</v>
      </c>
      <c r="J167" s="4" t="s">
        <v>162</v>
      </c>
      <c r="K167" s="4" t="s">
        <v>436</v>
      </c>
      <c r="L167" s="4" t="s">
        <v>164</v>
      </c>
      <c r="M167" s="5" t="s">
        <v>112</v>
      </c>
    </row>
    <row r="168" customFormat="false" ht="23.85" hidden="false" customHeight="false" outlineLevel="0" collapsed="false">
      <c r="A168" s="5" t="n">
        <v>164</v>
      </c>
      <c r="B168" s="4" t="s">
        <v>12</v>
      </c>
      <c r="C168" s="4" t="s">
        <v>106</v>
      </c>
      <c r="D168" s="4" t="s">
        <v>30</v>
      </c>
      <c r="E168" s="4" t="s">
        <v>31</v>
      </c>
      <c r="F168" s="5" t="s">
        <v>430</v>
      </c>
      <c r="G168" s="4" t="s">
        <v>29</v>
      </c>
      <c r="H168" s="5" t="s">
        <v>118</v>
      </c>
      <c r="I168" s="4" t="s">
        <v>437</v>
      </c>
      <c r="J168" s="4" t="s">
        <v>162</v>
      </c>
      <c r="K168" s="4" t="s">
        <v>438</v>
      </c>
      <c r="L168" s="4" t="s">
        <v>164</v>
      </c>
      <c r="M168" s="5" t="s">
        <v>112</v>
      </c>
    </row>
    <row r="169" customFormat="false" ht="23.85" hidden="false" customHeight="false" outlineLevel="0" collapsed="false">
      <c r="A169" s="5" t="n">
        <v>165</v>
      </c>
      <c r="B169" s="4" t="s">
        <v>12</v>
      </c>
      <c r="C169" s="4" t="s">
        <v>106</v>
      </c>
      <c r="D169" s="4" t="s">
        <v>30</v>
      </c>
      <c r="E169" s="4" t="s">
        <v>31</v>
      </c>
      <c r="F169" s="5" t="s">
        <v>430</v>
      </c>
      <c r="G169" s="4" t="s">
        <v>29</v>
      </c>
      <c r="H169" s="5" t="s">
        <v>120</v>
      </c>
      <c r="I169" s="4" t="s">
        <v>439</v>
      </c>
      <c r="J169" s="4" t="s">
        <v>162</v>
      </c>
      <c r="K169" s="4" t="s">
        <v>440</v>
      </c>
      <c r="L169" s="4" t="s">
        <v>164</v>
      </c>
      <c r="M169" s="5" t="s">
        <v>112</v>
      </c>
    </row>
    <row r="170" customFormat="false" ht="23.85" hidden="false" customHeight="false" outlineLevel="0" collapsed="false">
      <c r="A170" s="5" t="n">
        <v>166</v>
      </c>
      <c r="B170" s="4" t="s">
        <v>12</v>
      </c>
      <c r="C170" s="4" t="s">
        <v>106</v>
      </c>
      <c r="D170" s="4" t="s">
        <v>30</v>
      </c>
      <c r="E170" s="4" t="s">
        <v>31</v>
      </c>
      <c r="F170" s="5" t="s">
        <v>430</v>
      </c>
      <c r="G170" s="4" t="s">
        <v>29</v>
      </c>
      <c r="H170" s="5" t="s">
        <v>122</v>
      </c>
      <c r="I170" s="4" t="s">
        <v>441</v>
      </c>
      <c r="J170" s="4" t="s">
        <v>162</v>
      </c>
      <c r="K170" s="4" t="s">
        <v>442</v>
      </c>
      <c r="L170" s="4" t="s">
        <v>164</v>
      </c>
      <c r="M170" s="5" t="s">
        <v>112</v>
      </c>
    </row>
    <row r="171" customFormat="false" ht="23.85" hidden="false" customHeight="false" outlineLevel="0" collapsed="false">
      <c r="A171" s="5" t="n">
        <v>167</v>
      </c>
      <c r="B171" s="4" t="s">
        <v>12</v>
      </c>
      <c r="C171" s="4" t="s">
        <v>106</v>
      </c>
      <c r="D171" s="4" t="s">
        <v>30</v>
      </c>
      <c r="E171" s="4" t="s">
        <v>31</v>
      </c>
      <c r="F171" s="5" t="s">
        <v>430</v>
      </c>
      <c r="G171" s="4" t="s">
        <v>29</v>
      </c>
      <c r="H171" s="5" t="s">
        <v>124</v>
      </c>
      <c r="I171" s="4" t="s">
        <v>443</v>
      </c>
      <c r="J171" s="4" t="s">
        <v>162</v>
      </c>
      <c r="K171" s="4" t="s">
        <v>444</v>
      </c>
      <c r="L171" s="4" t="s">
        <v>164</v>
      </c>
      <c r="M171" s="5" t="s">
        <v>112</v>
      </c>
    </row>
    <row r="172" customFormat="false" ht="23.85" hidden="false" customHeight="false" outlineLevel="0" collapsed="false">
      <c r="A172" s="5" t="n">
        <v>168</v>
      </c>
      <c r="B172" s="4" t="s">
        <v>12</v>
      </c>
      <c r="C172" s="4" t="s">
        <v>106</v>
      </c>
      <c r="D172" s="4" t="s">
        <v>32</v>
      </c>
      <c r="E172" s="4" t="s">
        <v>33</v>
      </c>
      <c r="F172" s="5" t="s">
        <v>445</v>
      </c>
      <c r="G172" s="4"/>
      <c r="H172" s="5" t="s">
        <v>108</v>
      </c>
      <c r="I172" s="4" t="s">
        <v>446</v>
      </c>
      <c r="J172" s="4" t="s">
        <v>7</v>
      </c>
      <c r="K172" s="4" t="s">
        <v>259</v>
      </c>
      <c r="L172" s="4" t="s">
        <v>111</v>
      </c>
      <c r="M172" s="5" t="s">
        <v>112</v>
      </c>
    </row>
    <row r="173" customFormat="false" ht="23.85" hidden="false" customHeight="false" outlineLevel="0" collapsed="false">
      <c r="A173" s="5" t="n">
        <v>169</v>
      </c>
      <c r="B173" s="4" t="s">
        <v>12</v>
      </c>
      <c r="C173" s="4" t="s">
        <v>106</v>
      </c>
      <c r="D173" s="4" t="s">
        <v>32</v>
      </c>
      <c r="E173" s="4" t="s">
        <v>33</v>
      </c>
      <c r="F173" s="5" t="s">
        <v>445</v>
      </c>
      <c r="G173" s="4"/>
      <c r="H173" s="5" t="s">
        <v>113</v>
      </c>
      <c r="I173" s="4" t="s">
        <v>447</v>
      </c>
      <c r="J173" s="4" t="s">
        <v>7</v>
      </c>
      <c r="K173" s="4" t="s">
        <v>259</v>
      </c>
      <c r="L173" s="4" t="s">
        <v>111</v>
      </c>
      <c r="M173" s="5" t="s">
        <v>112</v>
      </c>
    </row>
    <row r="174" customFormat="false" ht="23.85" hidden="false" customHeight="false" outlineLevel="0" collapsed="false">
      <c r="A174" s="5" t="n">
        <v>170</v>
      </c>
      <c r="B174" s="4" t="s">
        <v>12</v>
      </c>
      <c r="C174" s="4" t="s">
        <v>106</v>
      </c>
      <c r="D174" s="4" t="s">
        <v>32</v>
      </c>
      <c r="E174" s="4" t="s">
        <v>33</v>
      </c>
      <c r="F174" s="5" t="s">
        <v>445</v>
      </c>
      <c r="G174" s="4"/>
      <c r="H174" s="5" t="s">
        <v>115</v>
      </c>
      <c r="I174" s="4" t="s">
        <v>448</v>
      </c>
      <c r="J174" s="4" t="s">
        <v>7</v>
      </c>
      <c r="K174" s="4" t="s">
        <v>259</v>
      </c>
      <c r="L174" s="4" t="s">
        <v>111</v>
      </c>
      <c r="M174" s="5" t="s">
        <v>112</v>
      </c>
    </row>
    <row r="175" customFormat="false" ht="23.85" hidden="false" customHeight="false" outlineLevel="0" collapsed="false">
      <c r="A175" s="5" t="n">
        <v>171</v>
      </c>
      <c r="B175" s="4" t="s">
        <v>12</v>
      </c>
      <c r="C175" s="4" t="s">
        <v>106</v>
      </c>
      <c r="D175" s="4" t="s">
        <v>32</v>
      </c>
      <c r="E175" s="4" t="s">
        <v>33</v>
      </c>
      <c r="F175" s="5" t="s">
        <v>445</v>
      </c>
      <c r="G175" s="4"/>
      <c r="H175" s="5" t="s">
        <v>118</v>
      </c>
      <c r="I175" s="4" t="s">
        <v>449</v>
      </c>
      <c r="J175" s="4" t="s">
        <v>7</v>
      </c>
      <c r="K175" s="4" t="s">
        <v>450</v>
      </c>
      <c r="L175" s="4" t="s">
        <v>111</v>
      </c>
      <c r="M175" s="5" t="s">
        <v>112</v>
      </c>
    </row>
    <row r="176" customFormat="false" ht="23.85" hidden="false" customHeight="false" outlineLevel="0" collapsed="false">
      <c r="A176" s="5" t="n">
        <v>172</v>
      </c>
      <c r="B176" s="4" t="s">
        <v>12</v>
      </c>
      <c r="C176" s="4" t="s">
        <v>106</v>
      </c>
      <c r="D176" s="4" t="s">
        <v>32</v>
      </c>
      <c r="E176" s="4" t="s">
        <v>33</v>
      </c>
      <c r="F176" s="5" t="s">
        <v>445</v>
      </c>
      <c r="G176" s="4"/>
      <c r="H176" s="5" t="s">
        <v>120</v>
      </c>
      <c r="I176" s="4" t="s">
        <v>451</v>
      </c>
      <c r="J176" s="4" t="s">
        <v>7</v>
      </c>
      <c r="K176" s="4" t="s">
        <v>450</v>
      </c>
      <c r="L176" s="4" t="s">
        <v>111</v>
      </c>
      <c r="M176" s="5" t="s">
        <v>112</v>
      </c>
    </row>
    <row r="177" customFormat="false" ht="23.85" hidden="false" customHeight="false" outlineLevel="0" collapsed="false">
      <c r="A177" s="5" t="n">
        <v>173</v>
      </c>
      <c r="B177" s="4" t="s">
        <v>12</v>
      </c>
      <c r="C177" s="4" t="s">
        <v>106</v>
      </c>
      <c r="D177" s="4" t="s">
        <v>32</v>
      </c>
      <c r="E177" s="4" t="s">
        <v>33</v>
      </c>
      <c r="F177" s="5" t="s">
        <v>445</v>
      </c>
      <c r="G177" s="4"/>
      <c r="H177" s="5" t="s">
        <v>122</v>
      </c>
      <c r="I177" s="4" t="s">
        <v>452</v>
      </c>
      <c r="J177" s="4" t="s">
        <v>7</v>
      </c>
      <c r="K177" s="4" t="s">
        <v>259</v>
      </c>
      <c r="L177" s="4" t="s">
        <v>111</v>
      </c>
      <c r="M177" s="5" t="s">
        <v>112</v>
      </c>
    </row>
    <row r="178" customFormat="false" ht="23.85" hidden="false" customHeight="false" outlineLevel="0" collapsed="false">
      <c r="A178" s="5" t="n">
        <v>174</v>
      </c>
      <c r="B178" s="4" t="s">
        <v>12</v>
      </c>
      <c r="C178" s="4" t="s">
        <v>106</v>
      </c>
      <c r="D178" s="4" t="s">
        <v>32</v>
      </c>
      <c r="E178" s="4" t="s">
        <v>33</v>
      </c>
      <c r="F178" s="5" t="s">
        <v>445</v>
      </c>
      <c r="G178" s="4"/>
      <c r="H178" s="5" t="s">
        <v>124</v>
      </c>
      <c r="I178" s="4" t="s">
        <v>453</v>
      </c>
      <c r="J178" s="4" t="s">
        <v>7</v>
      </c>
      <c r="K178" s="4" t="s">
        <v>450</v>
      </c>
      <c r="L178" s="4" t="s">
        <v>111</v>
      </c>
      <c r="M178" s="5" t="s">
        <v>112</v>
      </c>
    </row>
    <row r="179" customFormat="false" ht="23.85" hidden="false" customHeight="false" outlineLevel="0" collapsed="false">
      <c r="A179" s="5" t="n">
        <v>175</v>
      </c>
      <c r="B179" s="4" t="s">
        <v>12</v>
      </c>
      <c r="C179" s="4" t="s">
        <v>106</v>
      </c>
      <c r="D179" s="4" t="s">
        <v>32</v>
      </c>
      <c r="E179" s="4" t="s">
        <v>33</v>
      </c>
      <c r="F179" s="5" t="s">
        <v>445</v>
      </c>
      <c r="G179" s="4"/>
      <c r="H179" s="5" t="s">
        <v>126</v>
      </c>
      <c r="I179" s="4" t="s">
        <v>454</v>
      </c>
      <c r="J179" s="4" t="s">
        <v>7</v>
      </c>
      <c r="K179" s="4" t="s">
        <v>455</v>
      </c>
      <c r="L179" s="4" t="s">
        <v>111</v>
      </c>
      <c r="M179" s="5" t="s">
        <v>112</v>
      </c>
    </row>
    <row r="180" customFormat="false" ht="23.85" hidden="false" customHeight="false" outlineLevel="0" collapsed="false">
      <c r="A180" s="5" t="n">
        <v>176</v>
      </c>
      <c r="B180" s="4" t="s">
        <v>12</v>
      </c>
      <c r="C180" s="4" t="s">
        <v>106</v>
      </c>
      <c r="D180" s="4" t="s">
        <v>32</v>
      </c>
      <c r="E180" s="4" t="s">
        <v>33</v>
      </c>
      <c r="F180" s="5" t="s">
        <v>445</v>
      </c>
      <c r="G180" s="4"/>
      <c r="H180" s="5" t="s">
        <v>129</v>
      </c>
      <c r="I180" s="4" t="s">
        <v>456</v>
      </c>
      <c r="J180" s="4" t="s">
        <v>7</v>
      </c>
      <c r="K180" s="4" t="s">
        <v>338</v>
      </c>
      <c r="L180" s="4" t="s">
        <v>111</v>
      </c>
      <c r="M180" s="5" t="s">
        <v>112</v>
      </c>
    </row>
    <row r="181" customFormat="false" ht="23.85" hidden="false" customHeight="false" outlineLevel="0" collapsed="false">
      <c r="A181" s="5" t="n">
        <v>177</v>
      </c>
      <c r="B181" s="4" t="s">
        <v>12</v>
      </c>
      <c r="C181" s="4" t="s">
        <v>106</v>
      </c>
      <c r="D181" s="4" t="s">
        <v>32</v>
      </c>
      <c r="E181" s="4" t="s">
        <v>33</v>
      </c>
      <c r="F181" s="5" t="s">
        <v>445</v>
      </c>
      <c r="G181" s="4"/>
      <c r="H181" s="5" t="s">
        <v>131</v>
      </c>
      <c r="I181" s="4" t="s">
        <v>457</v>
      </c>
      <c r="J181" s="4" t="s">
        <v>7</v>
      </c>
      <c r="K181" s="4" t="s">
        <v>338</v>
      </c>
      <c r="L181" s="4" t="s">
        <v>111</v>
      </c>
      <c r="M181" s="5" t="s">
        <v>112</v>
      </c>
    </row>
    <row r="182" customFormat="false" ht="23.85" hidden="false" customHeight="false" outlineLevel="0" collapsed="false">
      <c r="A182" s="5" t="n">
        <v>178</v>
      </c>
      <c r="B182" s="4" t="s">
        <v>12</v>
      </c>
      <c r="C182" s="4" t="s">
        <v>106</v>
      </c>
      <c r="D182" s="4" t="s">
        <v>32</v>
      </c>
      <c r="E182" s="4" t="s">
        <v>33</v>
      </c>
      <c r="F182" s="5" t="s">
        <v>445</v>
      </c>
      <c r="G182" s="4"/>
      <c r="H182" s="5" t="s">
        <v>134</v>
      </c>
      <c r="I182" s="4" t="s">
        <v>458</v>
      </c>
      <c r="J182" s="4" t="s">
        <v>7</v>
      </c>
      <c r="K182" s="4" t="s">
        <v>459</v>
      </c>
      <c r="L182" s="4" t="s">
        <v>111</v>
      </c>
      <c r="M182" s="5" t="s">
        <v>112</v>
      </c>
    </row>
    <row r="183" customFormat="false" ht="23.85" hidden="false" customHeight="false" outlineLevel="0" collapsed="false">
      <c r="A183" s="5" t="n">
        <v>179</v>
      </c>
      <c r="B183" s="4" t="s">
        <v>12</v>
      </c>
      <c r="C183" s="4" t="s">
        <v>106</v>
      </c>
      <c r="D183" s="4" t="s">
        <v>32</v>
      </c>
      <c r="E183" s="4" t="s">
        <v>33</v>
      </c>
      <c r="F183" s="5" t="s">
        <v>445</v>
      </c>
      <c r="G183" s="4"/>
      <c r="H183" s="5" t="s">
        <v>136</v>
      </c>
      <c r="I183" s="4" t="s">
        <v>460</v>
      </c>
      <c r="J183" s="4" t="s">
        <v>7</v>
      </c>
      <c r="K183" s="4" t="s">
        <v>459</v>
      </c>
      <c r="L183" s="4" t="s">
        <v>111</v>
      </c>
      <c r="M183" s="5" t="s">
        <v>112</v>
      </c>
    </row>
    <row r="184" customFormat="false" ht="23.85" hidden="false" customHeight="false" outlineLevel="0" collapsed="false">
      <c r="A184" s="5" t="n">
        <v>180</v>
      </c>
      <c r="B184" s="4" t="s">
        <v>12</v>
      </c>
      <c r="C184" s="4" t="s">
        <v>106</v>
      </c>
      <c r="D184" s="4" t="s">
        <v>32</v>
      </c>
      <c r="E184" s="4" t="s">
        <v>33</v>
      </c>
      <c r="F184" s="5" t="s">
        <v>445</v>
      </c>
      <c r="G184" s="4"/>
      <c r="H184" s="5" t="s">
        <v>139</v>
      </c>
      <c r="I184" s="4" t="s">
        <v>461</v>
      </c>
      <c r="J184" s="4" t="s">
        <v>7</v>
      </c>
      <c r="K184" s="4" t="s">
        <v>455</v>
      </c>
      <c r="L184" s="4" t="s">
        <v>111</v>
      </c>
      <c r="M184" s="5" t="s">
        <v>112</v>
      </c>
    </row>
    <row r="185" customFormat="false" ht="23.85" hidden="false" customHeight="false" outlineLevel="0" collapsed="false">
      <c r="A185" s="5" t="n">
        <v>181</v>
      </c>
      <c r="B185" s="4" t="s">
        <v>12</v>
      </c>
      <c r="C185" s="4" t="s">
        <v>106</v>
      </c>
      <c r="D185" s="4" t="s">
        <v>32</v>
      </c>
      <c r="E185" s="4" t="s">
        <v>33</v>
      </c>
      <c r="F185" s="5" t="s">
        <v>445</v>
      </c>
      <c r="G185" s="4"/>
      <c r="H185" s="5" t="s">
        <v>142</v>
      </c>
      <c r="I185" s="4" t="s">
        <v>462</v>
      </c>
      <c r="J185" s="4" t="s">
        <v>7</v>
      </c>
      <c r="K185" s="4" t="s">
        <v>338</v>
      </c>
      <c r="L185" s="4" t="s">
        <v>111</v>
      </c>
      <c r="M185" s="5" t="s">
        <v>112</v>
      </c>
    </row>
    <row r="186" customFormat="false" ht="23.85" hidden="false" customHeight="false" outlineLevel="0" collapsed="false">
      <c r="A186" s="5" t="n">
        <v>182</v>
      </c>
      <c r="B186" s="4" t="s">
        <v>12</v>
      </c>
      <c r="C186" s="4" t="s">
        <v>106</v>
      </c>
      <c r="D186" s="4" t="s">
        <v>32</v>
      </c>
      <c r="E186" s="4" t="s">
        <v>33</v>
      </c>
      <c r="F186" s="5" t="s">
        <v>445</v>
      </c>
      <c r="G186" s="4"/>
      <c r="H186" s="5" t="s">
        <v>144</v>
      </c>
      <c r="I186" s="4" t="s">
        <v>463</v>
      </c>
      <c r="J186" s="4" t="s">
        <v>7</v>
      </c>
      <c r="K186" s="4" t="s">
        <v>338</v>
      </c>
      <c r="L186" s="4" t="s">
        <v>111</v>
      </c>
      <c r="M186" s="5" t="s">
        <v>112</v>
      </c>
    </row>
    <row r="187" customFormat="false" ht="23.85" hidden="false" customHeight="false" outlineLevel="0" collapsed="false">
      <c r="A187" s="5" t="n">
        <v>183</v>
      </c>
      <c r="B187" s="4" t="s">
        <v>12</v>
      </c>
      <c r="C187" s="4" t="s">
        <v>106</v>
      </c>
      <c r="D187" s="4" t="s">
        <v>32</v>
      </c>
      <c r="E187" s="4" t="s">
        <v>33</v>
      </c>
      <c r="F187" s="5" t="s">
        <v>445</v>
      </c>
      <c r="G187" s="4"/>
      <c r="H187" s="5" t="s">
        <v>147</v>
      </c>
      <c r="I187" s="4" t="s">
        <v>464</v>
      </c>
      <c r="J187" s="4" t="s">
        <v>162</v>
      </c>
      <c r="K187" s="4" t="s">
        <v>465</v>
      </c>
      <c r="L187" s="4" t="s">
        <v>195</v>
      </c>
      <c r="M187" s="5" t="s">
        <v>112</v>
      </c>
    </row>
    <row r="188" customFormat="false" ht="23.85" hidden="false" customHeight="false" outlineLevel="0" collapsed="false">
      <c r="A188" s="5" t="n">
        <v>184</v>
      </c>
      <c r="B188" s="4" t="s">
        <v>12</v>
      </c>
      <c r="C188" s="4" t="s">
        <v>106</v>
      </c>
      <c r="D188" s="4" t="s">
        <v>32</v>
      </c>
      <c r="E188" s="4" t="s">
        <v>33</v>
      </c>
      <c r="F188" s="5" t="s">
        <v>445</v>
      </c>
      <c r="G188" s="4"/>
      <c r="H188" s="5" t="s">
        <v>150</v>
      </c>
      <c r="I188" s="4" t="s">
        <v>466</v>
      </c>
      <c r="J188" s="4" t="s">
        <v>162</v>
      </c>
      <c r="K188" s="4" t="s">
        <v>467</v>
      </c>
      <c r="L188" s="4" t="s">
        <v>195</v>
      </c>
      <c r="M188" s="5" t="s">
        <v>112</v>
      </c>
    </row>
    <row r="189" customFormat="false" ht="23.85" hidden="false" customHeight="false" outlineLevel="0" collapsed="false">
      <c r="A189" s="5" t="n">
        <v>185</v>
      </c>
      <c r="B189" s="4" t="s">
        <v>12</v>
      </c>
      <c r="C189" s="4" t="s">
        <v>106</v>
      </c>
      <c r="D189" s="4" t="s">
        <v>32</v>
      </c>
      <c r="E189" s="4" t="s">
        <v>33</v>
      </c>
      <c r="F189" s="5" t="s">
        <v>445</v>
      </c>
      <c r="G189" s="4"/>
      <c r="H189" s="5" t="s">
        <v>153</v>
      </c>
      <c r="I189" s="4" t="s">
        <v>468</v>
      </c>
      <c r="J189" s="4" t="s">
        <v>162</v>
      </c>
      <c r="K189" s="4" t="s">
        <v>469</v>
      </c>
      <c r="L189" s="4" t="s">
        <v>195</v>
      </c>
      <c r="M189" s="5" t="s">
        <v>112</v>
      </c>
    </row>
    <row r="190" customFormat="false" ht="23.85" hidden="false" customHeight="false" outlineLevel="0" collapsed="false">
      <c r="A190" s="5" t="n">
        <v>186</v>
      </c>
      <c r="B190" s="4" t="s">
        <v>12</v>
      </c>
      <c r="C190" s="4" t="s">
        <v>106</v>
      </c>
      <c r="D190" s="4" t="s">
        <v>32</v>
      </c>
      <c r="E190" s="4" t="s">
        <v>33</v>
      </c>
      <c r="F190" s="5" t="s">
        <v>445</v>
      </c>
      <c r="G190" s="4"/>
      <c r="H190" s="5" t="s">
        <v>155</v>
      </c>
      <c r="I190" s="4" t="s">
        <v>470</v>
      </c>
      <c r="J190" s="4" t="s">
        <v>162</v>
      </c>
      <c r="K190" s="4" t="s">
        <v>471</v>
      </c>
      <c r="L190" s="4" t="s">
        <v>164</v>
      </c>
      <c r="M190" s="5" t="s">
        <v>112</v>
      </c>
    </row>
    <row r="191" customFormat="false" ht="23.85" hidden="false" customHeight="false" outlineLevel="0" collapsed="false">
      <c r="A191" s="5" t="n">
        <v>187</v>
      </c>
      <c r="B191" s="4" t="s">
        <v>12</v>
      </c>
      <c r="C191" s="4" t="s">
        <v>106</v>
      </c>
      <c r="D191" s="4" t="s">
        <v>32</v>
      </c>
      <c r="E191" s="4" t="s">
        <v>33</v>
      </c>
      <c r="F191" s="5" t="s">
        <v>445</v>
      </c>
      <c r="G191" s="4"/>
      <c r="H191" s="5" t="s">
        <v>158</v>
      </c>
      <c r="I191" s="4" t="s">
        <v>472</v>
      </c>
      <c r="J191" s="4" t="s">
        <v>162</v>
      </c>
      <c r="K191" s="4" t="s">
        <v>473</v>
      </c>
      <c r="L191" s="4" t="s">
        <v>368</v>
      </c>
      <c r="M191" s="5" t="s">
        <v>112</v>
      </c>
    </row>
    <row r="192" customFormat="false" ht="23.85" hidden="false" customHeight="false" outlineLevel="0" collapsed="false">
      <c r="A192" s="5" t="n">
        <v>188</v>
      </c>
      <c r="B192" s="4" t="s">
        <v>12</v>
      </c>
      <c r="C192" s="4" t="s">
        <v>106</v>
      </c>
      <c r="D192" s="4" t="s">
        <v>32</v>
      </c>
      <c r="E192" s="4" t="s">
        <v>33</v>
      </c>
      <c r="F192" s="5" t="s">
        <v>445</v>
      </c>
      <c r="G192" s="4"/>
      <c r="H192" s="5" t="s">
        <v>160</v>
      </c>
      <c r="I192" s="4" t="s">
        <v>474</v>
      </c>
      <c r="J192" s="4" t="s">
        <v>162</v>
      </c>
      <c r="K192" s="4" t="s">
        <v>475</v>
      </c>
      <c r="L192" s="4" t="s">
        <v>368</v>
      </c>
      <c r="M192" s="5" t="s">
        <v>112</v>
      </c>
    </row>
    <row r="193" customFormat="false" ht="35.05" hidden="false" customHeight="false" outlineLevel="0" collapsed="false">
      <c r="A193" s="5" t="n">
        <v>189</v>
      </c>
      <c r="B193" s="4" t="s">
        <v>12</v>
      </c>
      <c r="C193" s="4" t="s">
        <v>106</v>
      </c>
      <c r="D193" s="4" t="s">
        <v>32</v>
      </c>
      <c r="E193" s="4" t="s">
        <v>33</v>
      </c>
      <c r="F193" s="5" t="s">
        <v>445</v>
      </c>
      <c r="G193" s="4"/>
      <c r="H193" s="5" t="s">
        <v>202</v>
      </c>
      <c r="I193" s="4" t="s">
        <v>476</v>
      </c>
      <c r="J193" s="4" t="s">
        <v>9</v>
      </c>
      <c r="K193" s="4" t="s">
        <v>477</v>
      </c>
      <c r="L193" s="4" t="s">
        <v>111</v>
      </c>
      <c r="M193" s="5" t="s">
        <v>205</v>
      </c>
    </row>
    <row r="194" customFormat="false" ht="46.25" hidden="false" customHeight="false" outlineLevel="0" collapsed="false">
      <c r="A194" s="5" t="n">
        <v>190</v>
      </c>
      <c r="B194" s="4" t="s">
        <v>12</v>
      </c>
      <c r="C194" s="4" t="s">
        <v>106</v>
      </c>
      <c r="D194" s="4" t="s">
        <v>32</v>
      </c>
      <c r="E194" s="4" t="s">
        <v>33</v>
      </c>
      <c r="F194" s="5" t="s">
        <v>445</v>
      </c>
      <c r="G194" s="4"/>
      <c r="H194" s="5" t="s">
        <v>206</v>
      </c>
      <c r="I194" s="4" t="s">
        <v>478</v>
      </c>
      <c r="J194" s="4" t="s">
        <v>9</v>
      </c>
      <c r="K194" s="4" t="s">
        <v>479</v>
      </c>
      <c r="L194" s="4" t="s">
        <v>111</v>
      </c>
      <c r="M194" s="5" t="s">
        <v>205</v>
      </c>
    </row>
    <row r="195" customFormat="false" ht="35.05" hidden="false" customHeight="false" outlineLevel="0" collapsed="false">
      <c r="A195" s="5" t="n">
        <v>191</v>
      </c>
      <c r="B195" s="4" t="s">
        <v>12</v>
      </c>
      <c r="C195" s="4" t="s">
        <v>106</v>
      </c>
      <c r="D195" s="4" t="s">
        <v>32</v>
      </c>
      <c r="E195" s="4" t="s">
        <v>33</v>
      </c>
      <c r="F195" s="5" t="s">
        <v>445</v>
      </c>
      <c r="G195" s="4"/>
      <c r="H195" s="5" t="s">
        <v>209</v>
      </c>
      <c r="I195" s="4" t="s">
        <v>480</v>
      </c>
      <c r="J195" s="4" t="s">
        <v>9</v>
      </c>
      <c r="K195" s="4" t="s">
        <v>481</v>
      </c>
      <c r="L195" s="4" t="s">
        <v>111</v>
      </c>
      <c r="M195" s="5" t="s">
        <v>205</v>
      </c>
    </row>
    <row r="196" customFormat="false" ht="46.25" hidden="false" customHeight="false" outlineLevel="0" collapsed="false">
      <c r="A196" s="5" t="n">
        <v>192</v>
      </c>
      <c r="B196" s="4" t="s">
        <v>12</v>
      </c>
      <c r="C196" s="4" t="s">
        <v>106</v>
      </c>
      <c r="D196" s="4" t="s">
        <v>32</v>
      </c>
      <c r="E196" s="4" t="s">
        <v>33</v>
      </c>
      <c r="F196" s="5" t="s">
        <v>445</v>
      </c>
      <c r="G196" s="4"/>
      <c r="H196" s="5" t="s">
        <v>212</v>
      </c>
      <c r="I196" s="4" t="s">
        <v>482</v>
      </c>
      <c r="J196" s="4" t="s">
        <v>9</v>
      </c>
      <c r="K196" s="4" t="s">
        <v>483</v>
      </c>
      <c r="L196" s="4" t="s">
        <v>111</v>
      </c>
      <c r="M196" s="5" t="s">
        <v>205</v>
      </c>
    </row>
    <row r="197" customFormat="false" ht="35.05" hidden="false" customHeight="false" outlineLevel="0" collapsed="false">
      <c r="A197" s="5" t="n">
        <v>193</v>
      </c>
      <c r="B197" s="4" t="s">
        <v>12</v>
      </c>
      <c r="C197" s="4" t="s">
        <v>106</v>
      </c>
      <c r="D197" s="4" t="s">
        <v>32</v>
      </c>
      <c r="E197" s="4" t="s">
        <v>33</v>
      </c>
      <c r="F197" s="5" t="s">
        <v>445</v>
      </c>
      <c r="G197" s="4"/>
      <c r="H197" s="5" t="s">
        <v>215</v>
      </c>
      <c r="I197" s="4" t="s">
        <v>484</v>
      </c>
      <c r="J197" s="4" t="s">
        <v>9</v>
      </c>
      <c r="K197" s="4" t="s">
        <v>485</v>
      </c>
      <c r="L197" s="4" t="s">
        <v>111</v>
      </c>
      <c r="M197" s="5" t="s">
        <v>205</v>
      </c>
    </row>
    <row r="198" customFormat="false" ht="35.05" hidden="false" customHeight="false" outlineLevel="0" collapsed="false">
      <c r="A198" s="5" t="n">
        <v>194</v>
      </c>
      <c r="B198" s="4" t="s">
        <v>12</v>
      </c>
      <c r="C198" s="4" t="s">
        <v>106</v>
      </c>
      <c r="D198" s="4" t="s">
        <v>32</v>
      </c>
      <c r="E198" s="4" t="s">
        <v>33</v>
      </c>
      <c r="F198" s="5" t="s">
        <v>445</v>
      </c>
      <c r="G198" s="4"/>
      <c r="H198" s="5" t="s">
        <v>218</v>
      </c>
      <c r="I198" s="4" t="s">
        <v>486</v>
      </c>
      <c r="J198" s="4" t="s">
        <v>9</v>
      </c>
      <c r="K198" s="4" t="s">
        <v>487</v>
      </c>
      <c r="L198" s="4" t="s">
        <v>111</v>
      </c>
      <c r="M198" s="5" t="s">
        <v>205</v>
      </c>
    </row>
    <row r="199" customFormat="false" ht="46.25" hidden="false" customHeight="false" outlineLevel="0" collapsed="false">
      <c r="A199" s="5" t="n">
        <v>195</v>
      </c>
      <c r="B199" s="4" t="s">
        <v>12</v>
      </c>
      <c r="C199" s="4" t="s">
        <v>106</v>
      </c>
      <c r="D199" s="4" t="s">
        <v>32</v>
      </c>
      <c r="E199" s="4" t="s">
        <v>33</v>
      </c>
      <c r="F199" s="5" t="s">
        <v>445</v>
      </c>
      <c r="G199" s="4"/>
      <c r="H199" s="5" t="s">
        <v>221</v>
      </c>
      <c r="I199" s="4" t="s">
        <v>488</v>
      </c>
      <c r="J199" s="4" t="s">
        <v>9</v>
      </c>
      <c r="K199" s="4" t="s">
        <v>489</v>
      </c>
      <c r="L199" s="4" t="s">
        <v>111</v>
      </c>
      <c r="M199" s="5" t="s">
        <v>205</v>
      </c>
    </row>
    <row r="200" customFormat="false" ht="35.05" hidden="false" customHeight="false" outlineLevel="0" collapsed="false">
      <c r="A200" s="5" t="n">
        <v>196</v>
      </c>
      <c r="B200" s="4" t="s">
        <v>12</v>
      </c>
      <c r="C200" s="4" t="s">
        <v>106</v>
      </c>
      <c r="D200" s="4" t="s">
        <v>32</v>
      </c>
      <c r="E200" s="4" t="s">
        <v>33</v>
      </c>
      <c r="F200" s="5" t="s">
        <v>445</v>
      </c>
      <c r="G200" s="4"/>
      <c r="H200" s="5" t="s">
        <v>490</v>
      </c>
      <c r="I200" s="4" t="s">
        <v>491</v>
      </c>
      <c r="J200" s="4" t="s">
        <v>9</v>
      </c>
      <c r="K200" s="4" t="s">
        <v>492</v>
      </c>
      <c r="L200" s="4" t="s">
        <v>111</v>
      </c>
      <c r="M200" s="5" t="s">
        <v>205</v>
      </c>
    </row>
    <row r="201" customFormat="false" ht="35.05" hidden="false" customHeight="false" outlineLevel="0" collapsed="false">
      <c r="A201" s="5" t="n">
        <v>197</v>
      </c>
      <c r="B201" s="4" t="s">
        <v>12</v>
      </c>
      <c r="C201" s="4" t="s">
        <v>106</v>
      </c>
      <c r="D201" s="4" t="s">
        <v>32</v>
      </c>
      <c r="E201" s="4" t="s">
        <v>33</v>
      </c>
      <c r="F201" s="5" t="s">
        <v>445</v>
      </c>
      <c r="G201" s="4"/>
      <c r="H201" s="5" t="s">
        <v>493</v>
      </c>
      <c r="I201" s="4" t="s">
        <v>494</v>
      </c>
      <c r="J201" s="4" t="s">
        <v>9</v>
      </c>
      <c r="K201" s="4" t="s">
        <v>495</v>
      </c>
      <c r="L201" s="4" t="s">
        <v>111</v>
      </c>
      <c r="M201" s="5" t="s">
        <v>205</v>
      </c>
    </row>
    <row r="202" customFormat="false" ht="23.85" hidden="false" customHeight="false" outlineLevel="0" collapsed="false">
      <c r="A202" s="5" t="n">
        <v>198</v>
      </c>
      <c r="B202" s="4" t="s">
        <v>12</v>
      </c>
      <c r="C202" s="4" t="s">
        <v>106</v>
      </c>
      <c r="D202" s="4" t="s">
        <v>34</v>
      </c>
      <c r="E202" s="4" t="s">
        <v>35</v>
      </c>
      <c r="F202" s="5" t="s">
        <v>496</v>
      </c>
      <c r="G202" s="4"/>
      <c r="H202" s="5" t="s">
        <v>108</v>
      </c>
      <c r="I202" s="4" t="s">
        <v>497</v>
      </c>
      <c r="J202" s="4" t="s">
        <v>7</v>
      </c>
      <c r="K202" s="4" t="s">
        <v>455</v>
      </c>
      <c r="L202" s="4" t="s">
        <v>111</v>
      </c>
      <c r="M202" s="5" t="s">
        <v>112</v>
      </c>
    </row>
    <row r="203" customFormat="false" ht="23.85" hidden="false" customHeight="false" outlineLevel="0" collapsed="false">
      <c r="A203" s="5" t="n">
        <v>199</v>
      </c>
      <c r="B203" s="4" t="s">
        <v>12</v>
      </c>
      <c r="C203" s="4" t="s">
        <v>106</v>
      </c>
      <c r="D203" s="4" t="s">
        <v>34</v>
      </c>
      <c r="E203" s="4" t="s">
        <v>35</v>
      </c>
      <c r="F203" s="5" t="s">
        <v>496</v>
      </c>
      <c r="G203" s="4"/>
      <c r="H203" s="5" t="s">
        <v>113</v>
      </c>
      <c r="I203" s="4" t="s">
        <v>498</v>
      </c>
      <c r="J203" s="4" t="s">
        <v>7</v>
      </c>
      <c r="K203" s="4" t="s">
        <v>455</v>
      </c>
      <c r="L203" s="4" t="s">
        <v>111</v>
      </c>
      <c r="M203" s="5" t="s">
        <v>112</v>
      </c>
    </row>
    <row r="204" customFormat="false" ht="23.85" hidden="false" customHeight="false" outlineLevel="0" collapsed="false">
      <c r="A204" s="5" t="n">
        <v>200</v>
      </c>
      <c r="B204" s="4" t="s">
        <v>12</v>
      </c>
      <c r="C204" s="4" t="s">
        <v>106</v>
      </c>
      <c r="D204" s="4" t="s">
        <v>34</v>
      </c>
      <c r="E204" s="4" t="s">
        <v>35</v>
      </c>
      <c r="F204" s="5" t="s">
        <v>496</v>
      </c>
      <c r="G204" s="4"/>
      <c r="H204" s="5" t="s">
        <v>115</v>
      </c>
      <c r="I204" s="4" t="s">
        <v>499</v>
      </c>
      <c r="J204" s="4" t="s">
        <v>7</v>
      </c>
      <c r="K204" s="4" t="s">
        <v>455</v>
      </c>
      <c r="L204" s="4" t="s">
        <v>111</v>
      </c>
      <c r="M204" s="5" t="s">
        <v>112</v>
      </c>
    </row>
    <row r="205" customFormat="false" ht="23.85" hidden="false" customHeight="false" outlineLevel="0" collapsed="false">
      <c r="A205" s="5" t="n">
        <v>201</v>
      </c>
      <c r="B205" s="4" t="s">
        <v>12</v>
      </c>
      <c r="C205" s="4" t="s">
        <v>106</v>
      </c>
      <c r="D205" s="4" t="s">
        <v>34</v>
      </c>
      <c r="E205" s="4" t="s">
        <v>35</v>
      </c>
      <c r="F205" s="5" t="s">
        <v>496</v>
      </c>
      <c r="G205" s="4"/>
      <c r="H205" s="5" t="s">
        <v>118</v>
      </c>
      <c r="I205" s="4" t="s">
        <v>500</v>
      </c>
      <c r="J205" s="4" t="s">
        <v>7</v>
      </c>
      <c r="K205" s="4" t="s">
        <v>455</v>
      </c>
      <c r="L205" s="4" t="s">
        <v>111</v>
      </c>
      <c r="M205" s="5" t="s">
        <v>112</v>
      </c>
    </row>
    <row r="206" customFormat="false" ht="23.85" hidden="false" customHeight="false" outlineLevel="0" collapsed="false">
      <c r="A206" s="5" t="n">
        <v>202</v>
      </c>
      <c r="B206" s="4" t="s">
        <v>12</v>
      </c>
      <c r="C206" s="4" t="s">
        <v>106</v>
      </c>
      <c r="D206" s="4" t="s">
        <v>34</v>
      </c>
      <c r="E206" s="4" t="s">
        <v>35</v>
      </c>
      <c r="F206" s="5" t="s">
        <v>496</v>
      </c>
      <c r="G206" s="4"/>
      <c r="H206" s="5" t="s">
        <v>120</v>
      </c>
      <c r="I206" s="4" t="s">
        <v>501</v>
      </c>
      <c r="J206" s="4" t="s">
        <v>7</v>
      </c>
      <c r="K206" s="4" t="s">
        <v>455</v>
      </c>
      <c r="L206" s="4" t="s">
        <v>111</v>
      </c>
      <c r="M206" s="5" t="s">
        <v>112</v>
      </c>
    </row>
    <row r="207" customFormat="false" ht="23.85" hidden="false" customHeight="false" outlineLevel="0" collapsed="false">
      <c r="A207" s="5" t="n">
        <v>203</v>
      </c>
      <c r="B207" s="4" t="s">
        <v>12</v>
      </c>
      <c r="C207" s="4" t="s">
        <v>106</v>
      </c>
      <c r="D207" s="4" t="s">
        <v>34</v>
      </c>
      <c r="E207" s="4" t="s">
        <v>35</v>
      </c>
      <c r="F207" s="5" t="s">
        <v>496</v>
      </c>
      <c r="G207" s="4"/>
      <c r="H207" s="5" t="s">
        <v>122</v>
      </c>
      <c r="I207" s="4" t="s">
        <v>502</v>
      </c>
      <c r="J207" s="4" t="s">
        <v>7</v>
      </c>
      <c r="K207" s="4" t="s">
        <v>455</v>
      </c>
      <c r="L207" s="4" t="s">
        <v>111</v>
      </c>
      <c r="M207" s="5" t="s">
        <v>112</v>
      </c>
    </row>
    <row r="208" customFormat="false" ht="23.85" hidden="false" customHeight="false" outlineLevel="0" collapsed="false">
      <c r="A208" s="5" t="n">
        <v>204</v>
      </c>
      <c r="B208" s="4" t="s">
        <v>12</v>
      </c>
      <c r="C208" s="4" t="s">
        <v>106</v>
      </c>
      <c r="D208" s="4" t="s">
        <v>34</v>
      </c>
      <c r="E208" s="4" t="s">
        <v>35</v>
      </c>
      <c r="F208" s="5" t="s">
        <v>496</v>
      </c>
      <c r="G208" s="4"/>
      <c r="H208" s="5" t="s">
        <v>124</v>
      </c>
      <c r="I208" s="4" t="s">
        <v>503</v>
      </c>
      <c r="J208" s="4" t="s">
        <v>7</v>
      </c>
      <c r="K208" s="4" t="s">
        <v>455</v>
      </c>
      <c r="L208" s="4" t="s">
        <v>111</v>
      </c>
      <c r="M208" s="5" t="s">
        <v>112</v>
      </c>
    </row>
    <row r="209" customFormat="false" ht="23.85" hidden="false" customHeight="false" outlineLevel="0" collapsed="false">
      <c r="A209" s="5" t="n">
        <v>205</v>
      </c>
      <c r="B209" s="4" t="s">
        <v>12</v>
      </c>
      <c r="C209" s="4" t="s">
        <v>106</v>
      </c>
      <c r="D209" s="4" t="s">
        <v>34</v>
      </c>
      <c r="E209" s="4" t="s">
        <v>35</v>
      </c>
      <c r="F209" s="5" t="s">
        <v>496</v>
      </c>
      <c r="G209" s="4"/>
      <c r="H209" s="5" t="s">
        <v>126</v>
      </c>
      <c r="I209" s="4" t="s">
        <v>504</v>
      </c>
      <c r="J209" s="4" t="s">
        <v>7</v>
      </c>
      <c r="K209" s="4" t="s">
        <v>505</v>
      </c>
      <c r="L209" s="4" t="s">
        <v>111</v>
      </c>
      <c r="M209" s="5" t="s">
        <v>112</v>
      </c>
    </row>
    <row r="210" customFormat="false" ht="23.85" hidden="false" customHeight="false" outlineLevel="0" collapsed="false">
      <c r="A210" s="5" t="n">
        <v>206</v>
      </c>
      <c r="B210" s="4" t="s">
        <v>12</v>
      </c>
      <c r="C210" s="4" t="s">
        <v>106</v>
      </c>
      <c r="D210" s="4" t="s">
        <v>34</v>
      </c>
      <c r="E210" s="4" t="s">
        <v>35</v>
      </c>
      <c r="F210" s="5" t="s">
        <v>496</v>
      </c>
      <c r="G210" s="4"/>
      <c r="H210" s="5" t="s">
        <v>129</v>
      </c>
      <c r="I210" s="4" t="s">
        <v>506</v>
      </c>
      <c r="J210" s="4" t="s">
        <v>7</v>
      </c>
      <c r="K210" s="4" t="s">
        <v>505</v>
      </c>
      <c r="L210" s="4" t="s">
        <v>111</v>
      </c>
      <c r="M210" s="5" t="s">
        <v>112</v>
      </c>
    </row>
    <row r="211" customFormat="false" ht="23.85" hidden="false" customHeight="false" outlineLevel="0" collapsed="false">
      <c r="A211" s="5" t="n">
        <v>207</v>
      </c>
      <c r="B211" s="4" t="s">
        <v>12</v>
      </c>
      <c r="C211" s="4" t="s">
        <v>106</v>
      </c>
      <c r="D211" s="4" t="s">
        <v>34</v>
      </c>
      <c r="E211" s="4" t="s">
        <v>35</v>
      </c>
      <c r="F211" s="5" t="s">
        <v>496</v>
      </c>
      <c r="G211" s="4"/>
      <c r="H211" s="5" t="s">
        <v>131</v>
      </c>
      <c r="I211" s="4" t="s">
        <v>507</v>
      </c>
      <c r="J211" s="4" t="s">
        <v>7</v>
      </c>
      <c r="K211" s="4" t="s">
        <v>505</v>
      </c>
      <c r="L211" s="4" t="s">
        <v>111</v>
      </c>
      <c r="M211" s="5" t="s">
        <v>112</v>
      </c>
    </row>
    <row r="212" customFormat="false" ht="23.85" hidden="false" customHeight="false" outlineLevel="0" collapsed="false">
      <c r="A212" s="5" t="n">
        <v>208</v>
      </c>
      <c r="B212" s="4" t="s">
        <v>12</v>
      </c>
      <c r="C212" s="4" t="s">
        <v>106</v>
      </c>
      <c r="D212" s="4" t="s">
        <v>34</v>
      </c>
      <c r="E212" s="4" t="s">
        <v>35</v>
      </c>
      <c r="F212" s="5" t="s">
        <v>496</v>
      </c>
      <c r="G212" s="4"/>
      <c r="H212" s="5" t="s">
        <v>134</v>
      </c>
      <c r="I212" s="4" t="s">
        <v>508</v>
      </c>
      <c r="J212" s="4" t="s">
        <v>7</v>
      </c>
      <c r="K212" s="4" t="s">
        <v>505</v>
      </c>
      <c r="L212" s="4" t="s">
        <v>111</v>
      </c>
      <c r="M212" s="5" t="s">
        <v>112</v>
      </c>
    </row>
    <row r="213" customFormat="false" ht="23.85" hidden="false" customHeight="false" outlineLevel="0" collapsed="false">
      <c r="A213" s="5" t="n">
        <v>209</v>
      </c>
      <c r="B213" s="4" t="s">
        <v>12</v>
      </c>
      <c r="C213" s="4" t="s">
        <v>106</v>
      </c>
      <c r="D213" s="4" t="s">
        <v>34</v>
      </c>
      <c r="E213" s="4" t="s">
        <v>35</v>
      </c>
      <c r="F213" s="5" t="s">
        <v>496</v>
      </c>
      <c r="G213" s="4"/>
      <c r="H213" s="5" t="s">
        <v>136</v>
      </c>
      <c r="I213" s="4" t="s">
        <v>509</v>
      </c>
      <c r="J213" s="4" t="s">
        <v>7</v>
      </c>
      <c r="K213" s="4" t="s">
        <v>505</v>
      </c>
      <c r="L213" s="4" t="s">
        <v>111</v>
      </c>
      <c r="M213" s="5" t="s">
        <v>112</v>
      </c>
    </row>
    <row r="214" customFormat="false" ht="23.85" hidden="false" customHeight="false" outlineLevel="0" collapsed="false">
      <c r="A214" s="5" t="n">
        <v>210</v>
      </c>
      <c r="B214" s="4" t="s">
        <v>12</v>
      </c>
      <c r="C214" s="4" t="s">
        <v>106</v>
      </c>
      <c r="D214" s="4" t="s">
        <v>34</v>
      </c>
      <c r="E214" s="4" t="s">
        <v>35</v>
      </c>
      <c r="F214" s="5" t="s">
        <v>496</v>
      </c>
      <c r="G214" s="4"/>
      <c r="H214" s="5" t="s">
        <v>139</v>
      </c>
      <c r="I214" s="4" t="s">
        <v>510</v>
      </c>
      <c r="J214" s="4" t="s">
        <v>7</v>
      </c>
      <c r="K214" s="4" t="s">
        <v>459</v>
      </c>
      <c r="L214" s="4" t="s">
        <v>111</v>
      </c>
      <c r="M214" s="5" t="s">
        <v>112</v>
      </c>
    </row>
    <row r="215" customFormat="false" ht="23.85" hidden="false" customHeight="false" outlineLevel="0" collapsed="false">
      <c r="A215" s="5" t="n">
        <v>211</v>
      </c>
      <c r="B215" s="4" t="s">
        <v>12</v>
      </c>
      <c r="C215" s="4" t="s">
        <v>106</v>
      </c>
      <c r="D215" s="4" t="s">
        <v>34</v>
      </c>
      <c r="E215" s="4" t="s">
        <v>35</v>
      </c>
      <c r="F215" s="5" t="s">
        <v>496</v>
      </c>
      <c r="G215" s="4"/>
      <c r="H215" s="5" t="s">
        <v>142</v>
      </c>
      <c r="I215" s="4" t="s">
        <v>511</v>
      </c>
      <c r="J215" s="4" t="s">
        <v>7</v>
      </c>
      <c r="K215" s="4" t="s">
        <v>459</v>
      </c>
      <c r="L215" s="4" t="s">
        <v>111</v>
      </c>
      <c r="M215" s="5" t="s">
        <v>112</v>
      </c>
    </row>
    <row r="216" customFormat="false" ht="23.85" hidden="false" customHeight="false" outlineLevel="0" collapsed="false">
      <c r="A216" s="5" t="n">
        <v>212</v>
      </c>
      <c r="B216" s="4" t="s">
        <v>12</v>
      </c>
      <c r="C216" s="4" t="s">
        <v>106</v>
      </c>
      <c r="D216" s="4" t="s">
        <v>34</v>
      </c>
      <c r="E216" s="4" t="s">
        <v>35</v>
      </c>
      <c r="F216" s="5" t="s">
        <v>496</v>
      </c>
      <c r="G216" s="4"/>
      <c r="H216" s="5" t="s">
        <v>144</v>
      </c>
      <c r="I216" s="4" t="s">
        <v>512</v>
      </c>
      <c r="J216" s="4" t="s">
        <v>7</v>
      </c>
      <c r="K216" s="4" t="s">
        <v>505</v>
      </c>
      <c r="L216" s="4" t="s">
        <v>111</v>
      </c>
      <c r="M216" s="5" t="s">
        <v>112</v>
      </c>
    </row>
    <row r="217" customFormat="false" ht="23.85" hidden="false" customHeight="false" outlineLevel="0" collapsed="false">
      <c r="A217" s="5" t="n">
        <v>213</v>
      </c>
      <c r="B217" s="4" t="s">
        <v>12</v>
      </c>
      <c r="C217" s="4" t="s">
        <v>106</v>
      </c>
      <c r="D217" s="4" t="s">
        <v>34</v>
      </c>
      <c r="E217" s="4" t="s">
        <v>35</v>
      </c>
      <c r="F217" s="5" t="s">
        <v>496</v>
      </c>
      <c r="G217" s="4"/>
      <c r="H217" s="5" t="s">
        <v>147</v>
      </c>
      <c r="I217" s="4" t="s">
        <v>513</v>
      </c>
      <c r="J217" s="4" t="s">
        <v>162</v>
      </c>
      <c r="K217" s="4" t="s">
        <v>514</v>
      </c>
      <c r="L217" s="4" t="s">
        <v>164</v>
      </c>
      <c r="M217" s="5" t="s">
        <v>112</v>
      </c>
    </row>
    <row r="218" customFormat="false" ht="23.85" hidden="false" customHeight="false" outlineLevel="0" collapsed="false">
      <c r="A218" s="5" t="n">
        <v>214</v>
      </c>
      <c r="B218" s="4" t="s">
        <v>12</v>
      </c>
      <c r="C218" s="4" t="s">
        <v>106</v>
      </c>
      <c r="D218" s="4" t="s">
        <v>34</v>
      </c>
      <c r="E218" s="4" t="s">
        <v>35</v>
      </c>
      <c r="F218" s="5" t="s">
        <v>496</v>
      </c>
      <c r="G218" s="4"/>
      <c r="H218" s="5" t="s">
        <v>150</v>
      </c>
      <c r="I218" s="4" t="s">
        <v>515</v>
      </c>
      <c r="J218" s="4" t="s">
        <v>162</v>
      </c>
      <c r="K218" s="4" t="s">
        <v>516</v>
      </c>
      <c r="L218" s="4" t="s">
        <v>164</v>
      </c>
      <c r="M218" s="5" t="s">
        <v>112</v>
      </c>
    </row>
    <row r="219" customFormat="false" ht="23.85" hidden="false" customHeight="false" outlineLevel="0" collapsed="false">
      <c r="A219" s="5" t="n">
        <v>215</v>
      </c>
      <c r="B219" s="4" t="s">
        <v>12</v>
      </c>
      <c r="C219" s="4" t="s">
        <v>106</v>
      </c>
      <c r="D219" s="4" t="s">
        <v>34</v>
      </c>
      <c r="E219" s="4" t="s">
        <v>35</v>
      </c>
      <c r="F219" s="5" t="s">
        <v>496</v>
      </c>
      <c r="G219" s="4"/>
      <c r="H219" s="5" t="s">
        <v>153</v>
      </c>
      <c r="I219" s="4" t="s">
        <v>517</v>
      </c>
      <c r="J219" s="4" t="s">
        <v>162</v>
      </c>
      <c r="K219" s="4" t="s">
        <v>518</v>
      </c>
      <c r="L219" s="4" t="s">
        <v>164</v>
      </c>
      <c r="M219" s="5" t="s">
        <v>112</v>
      </c>
    </row>
    <row r="220" customFormat="false" ht="23.85" hidden="false" customHeight="false" outlineLevel="0" collapsed="false">
      <c r="A220" s="5" t="n">
        <v>216</v>
      </c>
      <c r="B220" s="4" t="s">
        <v>12</v>
      </c>
      <c r="C220" s="4" t="s">
        <v>106</v>
      </c>
      <c r="D220" s="4" t="s">
        <v>34</v>
      </c>
      <c r="E220" s="4" t="s">
        <v>35</v>
      </c>
      <c r="F220" s="5" t="s">
        <v>496</v>
      </c>
      <c r="G220" s="4"/>
      <c r="H220" s="5" t="s">
        <v>155</v>
      </c>
      <c r="I220" s="4" t="s">
        <v>519</v>
      </c>
      <c r="J220" s="4" t="s">
        <v>162</v>
      </c>
      <c r="K220" s="4" t="s">
        <v>520</v>
      </c>
      <c r="L220" s="4" t="s">
        <v>164</v>
      </c>
      <c r="M220" s="5" t="s">
        <v>112</v>
      </c>
    </row>
    <row r="221" customFormat="false" ht="23.85" hidden="false" customHeight="false" outlineLevel="0" collapsed="false">
      <c r="A221" s="5" t="n">
        <v>217</v>
      </c>
      <c r="B221" s="4" t="s">
        <v>12</v>
      </c>
      <c r="C221" s="4" t="s">
        <v>106</v>
      </c>
      <c r="D221" s="4" t="s">
        <v>34</v>
      </c>
      <c r="E221" s="4" t="s">
        <v>35</v>
      </c>
      <c r="F221" s="5" t="s">
        <v>496</v>
      </c>
      <c r="G221" s="4"/>
      <c r="H221" s="5" t="s">
        <v>158</v>
      </c>
      <c r="I221" s="4" t="s">
        <v>521</v>
      </c>
      <c r="J221" s="4" t="s">
        <v>162</v>
      </c>
      <c r="K221" s="4" t="s">
        <v>522</v>
      </c>
      <c r="L221" s="4" t="s">
        <v>164</v>
      </c>
      <c r="M221" s="5" t="s">
        <v>112</v>
      </c>
    </row>
    <row r="222" customFormat="false" ht="23.85" hidden="false" customHeight="false" outlineLevel="0" collapsed="false">
      <c r="A222" s="5" t="n">
        <v>218</v>
      </c>
      <c r="B222" s="4" t="s">
        <v>12</v>
      </c>
      <c r="C222" s="4" t="s">
        <v>106</v>
      </c>
      <c r="D222" s="4" t="s">
        <v>34</v>
      </c>
      <c r="E222" s="4" t="s">
        <v>35</v>
      </c>
      <c r="F222" s="5" t="s">
        <v>496</v>
      </c>
      <c r="G222" s="4"/>
      <c r="H222" s="5" t="s">
        <v>160</v>
      </c>
      <c r="I222" s="4" t="s">
        <v>523</v>
      </c>
      <c r="J222" s="4" t="s">
        <v>162</v>
      </c>
      <c r="K222" s="4" t="s">
        <v>524</v>
      </c>
      <c r="L222" s="4" t="s">
        <v>164</v>
      </c>
      <c r="M222" s="5" t="s">
        <v>112</v>
      </c>
    </row>
    <row r="223" customFormat="false" ht="23.85" hidden="false" customHeight="false" outlineLevel="0" collapsed="false">
      <c r="A223" s="5" t="n">
        <v>219</v>
      </c>
      <c r="B223" s="4" t="s">
        <v>12</v>
      </c>
      <c r="C223" s="4" t="s">
        <v>106</v>
      </c>
      <c r="D223" s="4" t="s">
        <v>34</v>
      </c>
      <c r="E223" s="4" t="s">
        <v>35</v>
      </c>
      <c r="F223" s="5" t="s">
        <v>496</v>
      </c>
      <c r="G223" s="4"/>
      <c r="H223" s="5" t="s">
        <v>165</v>
      </c>
      <c r="I223" s="4" t="s">
        <v>525</v>
      </c>
      <c r="J223" s="4" t="s">
        <v>162</v>
      </c>
      <c r="K223" s="4" t="s">
        <v>526</v>
      </c>
      <c r="L223" s="4" t="s">
        <v>368</v>
      </c>
      <c r="M223" s="5" t="s">
        <v>112</v>
      </c>
    </row>
    <row r="224" customFormat="false" ht="35.05" hidden="false" customHeight="false" outlineLevel="0" collapsed="false">
      <c r="A224" s="5" t="n">
        <v>220</v>
      </c>
      <c r="B224" s="4" t="s">
        <v>12</v>
      </c>
      <c r="C224" s="4" t="s">
        <v>106</v>
      </c>
      <c r="D224" s="4" t="s">
        <v>34</v>
      </c>
      <c r="E224" s="4" t="s">
        <v>35</v>
      </c>
      <c r="F224" s="5" t="s">
        <v>496</v>
      </c>
      <c r="G224" s="4"/>
      <c r="H224" s="5" t="s">
        <v>202</v>
      </c>
      <c r="I224" s="4" t="s">
        <v>527</v>
      </c>
      <c r="J224" s="4" t="s">
        <v>9</v>
      </c>
      <c r="K224" s="4" t="s">
        <v>528</v>
      </c>
      <c r="L224" s="4" t="s">
        <v>111</v>
      </c>
      <c r="M224" s="5" t="s">
        <v>205</v>
      </c>
    </row>
    <row r="225" customFormat="false" ht="35.05" hidden="false" customHeight="false" outlineLevel="0" collapsed="false">
      <c r="A225" s="5" t="n">
        <v>221</v>
      </c>
      <c r="B225" s="4" t="s">
        <v>12</v>
      </c>
      <c r="C225" s="4" t="s">
        <v>106</v>
      </c>
      <c r="D225" s="4" t="s">
        <v>34</v>
      </c>
      <c r="E225" s="4" t="s">
        <v>35</v>
      </c>
      <c r="F225" s="5" t="s">
        <v>496</v>
      </c>
      <c r="G225" s="4"/>
      <c r="H225" s="5" t="s">
        <v>206</v>
      </c>
      <c r="I225" s="4" t="s">
        <v>529</v>
      </c>
      <c r="J225" s="4" t="s">
        <v>9</v>
      </c>
      <c r="K225" s="4" t="s">
        <v>530</v>
      </c>
      <c r="L225" s="4" t="s">
        <v>111</v>
      </c>
      <c r="M225" s="5" t="s">
        <v>205</v>
      </c>
    </row>
    <row r="226" customFormat="false" ht="35.05" hidden="false" customHeight="false" outlineLevel="0" collapsed="false">
      <c r="A226" s="5" t="n">
        <v>222</v>
      </c>
      <c r="B226" s="4" t="s">
        <v>12</v>
      </c>
      <c r="C226" s="4" t="s">
        <v>106</v>
      </c>
      <c r="D226" s="4" t="s">
        <v>34</v>
      </c>
      <c r="E226" s="4" t="s">
        <v>35</v>
      </c>
      <c r="F226" s="5" t="s">
        <v>496</v>
      </c>
      <c r="G226" s="4"/>
      <c r="H226" s="5" t="s">
        <v>209</v>
      </c>
      <c r="I226" s="4" t="s">
        <v>531</v>
      </c>
      <c r="J226" s="4" t="s">
        <v>9</v>
      </c>
      <c r="K226" s="4" t="s">
        <v>532</v>
      </c>
      <c r="L226" s="4" t="s">
        <v>111</v>
      </c>
      <c r="M226" s="5" t="s">
        <v>205</v>
      </c>
    </row>
    <row r="227" customFormat="false" ht="23.85" hidden="false" customHeight="false" outlineLevel="0" collapsed="false">
      <c r="A227" s="5" t="n">
        <v>223</v>
      </c>
      <c r="B227" s="4" t="s">
        <v>12</v>
      </c>
      <c r="C227" s="4" t="s">
        <v>106</v>
      </c>
      <c r="D227" s="4" t="s">
        <v>34</v>
      </c>
      <c r="E227" s="4" t="s">
        <v>35</v>
      </c>
      <c r="F227" s="5" t="s">
        <v>496</v>
      </c>
      <c r="G227" s="4"/>
      <c r="H227" s="5" t="s">
        <v>212</v>
      </c>
      <c r="I227" s="4" t="s">
        <v>533</v>
      </c>
      <c r="J227" s="4" t="s">
        <v>9</v>
      </c>
      <c r="K227" s="4" t="s">
        <v>534</v>
      </c>
      <c r="L227" s="4" t="s">
        <v>111</v>
      </c>
      <c r="M227" s="5" t="s">
        <v>205</v>
      </c>
    </row>
    <row r="228" customFormat="false" ht="35.05" hidden="false" customHeight="false" outlineLevel="0" collapsed="false">
      <c r="A228" s="5" t="n">
        <v>224</v>
      </c>
      <c r="B228" s="4" t="s">
        <v>12</v>
      </c>
      <c r="C228" s="4" t="s">
        <v>106</v>
      </c>
      <c r="D228" s="4" t="s">
        <v>34</v>
      </c>
      <c r="E228" s="4" t="s">
        <v>35</v>
      </c>
      <c r="F228" s="5" t="s">
        <v>496</v>
      </c>
      <c r="G228" s="4"/>
      <c r="H228" s="5" t="s">
        <v>215</v>
      </c>
      <c r="I228" s="4" t="s">
        <v>535</v>
      </c>
      <c r="J228" s="4" t="s">
        <v>9</v>
      </c>
      <c r="K228" s="4" t="s">
        <v>536</v>
      </c>
      <c r="L228" s="4" t="s">
        <v>111</v>
      </c>
      <c r="M228" s="5" t="s">
        <v>205</v>
      </c>
    </row>
    <row r="229" customFormat="false" ht="23.85" hidden="false" customHeight="false" outlineLevel="0" collapsed="false">
      <c r="A229" s="5" t="n">
        <v>225</v>
      </c>
      <c r="B229" s="4" t="s">
        <v>12</v>
      </c>
      <c r="C229" s="4" t="s">
        <v>106</v>
      </c>
      <c r="D229" s="4" t="s">
        <v>34</v>
      </c>
      <c r="E229" s="4" t="s">
        <v>35</v>
      </c>
      <c r="F229" s="5" t="s">
        <v>496</v>
      </c>
      <c r="G229" s="4"/>
      <c r="H229" s="5" t="s">
        <v>218</v>
      </c>
      <c r="I229" s="4" t="s">
        <v>537</v>
      </c>
      <c r="J229" s="4" t="s">
        <v>9</v>
      </c>
      <c r="K229" s="4" t="s">
        <v>538</v>
      </c>
      <c r="L229" s="4" t="s">
        <v>111</v>
      </c>
      <c r="M229" s="5" t="s">
        <v>205</v>
      </c>
    </row>
    <row r="230" customFormat="false" ht="23.85" hidden="false" customHeight="false" outlineLevel="0" collapsed="false">
      <c r="A230" s="5" t="n">
        <v>226</v>
      </c>
      <c r="B230" s="4" t="s">
        <v>12</v>
      </c>
      <c r="C230" s="4" t="s">
        <v>106</v>
      </c>
      <c r="D230" s="4" t="s">
        <v>34</v>
      </c>
      <c r="E230" s="4" t="s">
        <v>35</v>
      </c>
      <c r="F230" s="5" t="s">
        <v>496</v>
      </c>
      <c r="G230" s="4"/>
      <c r="H230" s="5" t="s">
        <v>221</v>
      </c>
      <c r="I230" s="4" t="s">
        <v>539</v>
      </c>
      <c r="J230" s="4" t="s">
        <v>9</v>
      </c>
      <c r="K230" s="4" t="s">
        <v>540</v>
      </c>
      <c r="L230" s="4" t="s">
        <v>111</v>
      </c>
      <c r="M230" s="5" t="s">
        <v>205</v>
      </c>
    </row>
    <row r="231" customFormat="false" ht="23.85" hidden="false" customHeight="false" outlineLevel="0" collapsed="false">
      <c r="A231" s="5" t="n">
        <v>227</v>
      </c>
      <c r="B231" s="4" t="s">
        <v>12</v>
      </c>
      <c r="C231" s="4" t="s">
        <v>106</v>
      </c>
      <c r="D231" s="4" t="s">
        <v>36</v>
      </c>
      <c r="E231" s="4" t="s">
        <v>37</v>
      </c>
      <c r="F231" s="5" t="s">
        <v>541</v>
      </c>
      <c r="G231" s="4" t="s">
        <v>38</v>
      </c>
      <c r="H231" s="5" t="s">
        <v>108</v>
      </c>
      <c r="I231" s="4" t="s">
        <v>542</v>
      </c>
      <c r="J231" s="4" t="s">
        <v>7</v>
      </c>
      <c r="K231" s="4" t="s">
        <v>543</v>
      </c>
      <c r="L231" s="4" t="s">
        <v>111</v>
      </c>
      <c r="M231" s="5" t="s">
        <v>112</v>
      </c>
    </row>
    <row r="232" customFormat="false" ht="23.85" hidden="false" customHeight="false" outlineLevel="0" collapsed="false">
      <c r="A232" s="5" t="n">
        <v>228</v>
      </c>
      <c r="B232" s="4" t="s">
        <v>12</v>
      </c>
      <c r="C232" s="4" t="s">
        <v>106</v>
      </c>
      <c r="D232" s="4" t="s">
        <v>36</v>
      </c>
      <c r="E232" s="4" t="s">
        <v>37</v>
      </c>
      <c r="F232" s="5" t="s">
        <v>541</v>
      </c>
      <c r="G232" s="4" t="s">
        <v>38</v>
      </c>
      <c r="H232" s="5" t="s">
        <v>113</v>
      </c>
      <c r="I232" s="4" t="s">
        <v>544</v>
      </c>
      <c r="J232" s="4" t="s">
        <v>7</v>
      </c>
      <c r="K232" s="4" t="s">
        <v>543</v>
      </c>
      <c r="L232" s="4" t="s">
        <v>111</v>
      </c>
      <c r="M232" s="5" t="s">
        <v>112</v>
      </c>
    </row>
    <row r="233" customFormat="false" ht="23.85" hidden="false" customHeight="false" outlineLevel="0" collapsed="false">
      <c r="A233" s="5" t="n">
        <v>229</v>
      </c>
      <c r="B233" s="4" t="s">
        <v>12</v>
      </c>
      <c r="C233" s="4" t="s">
        <v>106</v>
      </c>
      <c r="D233" s="4" t="s">
        <v>36</v>
      </c>
      <c r="E233" s="4" t="s">
        <v>37</v>
      </c>
      <c r="F233" s="5" t="s">
        <v>541</v>
      </c>
      <c r="G233" s="4" t="s">
        <v>38</v>
      </c>
      <c r="H233" s="5" t="s">
        <v>115</v>
      </c>
      <c r="I233" s="4" t="s">
        <v>545</v>
      </c>
      <c r="J233" s="4" t="s">
        <v>7</v>
      </c>
      <c r="K233" s="4" t="s">
        <v>546</v>
      </c>
      <c r="L233" s="4" t="s">
        <v>111</v>
      </c>
      <c r="M233" s="5" t="s">
        <v>112</v>
      </c>
    </row>
    <row r="234" customFormat="false" ht="23.85" hidden="false" customHeight="false" outlineLevel="0" collapsed="false">
      <c r="A234" s="5" t="n">
        <v>230</v>
      </c>
      <c r="B234" s="4" t="s">
        <v>12</v>
      </c>
      <c r="C234" s="4" t="s">
        <v>106</v>
      </c>
      <c r="D234" s="4" t="s">
        <v>36</v>
      </c>
      <c r="E234" s="4" t="s">
        <v>37</v>
      </c>
      <c r="F234" s="5" t="s">
        <v>541</v>
      </c>
      <c r="G234" s="4" t="s">
        <v>38</v>
      </c>
      <c r="H234" s="5" t="s">
        <v>118</v>
      </c>
      <c r="I234" s="4" t="s">
        <v>547</v>
      </c>
      <c r="J234" s="4" t="s">
        <v>7</v>
      </c>
      <c r="K234" s="4" t="s">
        <v>548</v>
      </c>
      <c r="L234" s="4" t="s">
        <v>111</v>
      </c>
      <c r="M234" s="5" t="s">
        <v>112</v>
      </c>
    </row>
    <row r="235" customFormat="false" ht="23.85" hidden="false" customHeight="false" outlineLevel="0" collapsed="false">
      <c r="A235" s="5" t="n">
        <v>231</v>
      </c>
      <c r="B235" s="4" t="s">
        <v>12</v>
      </c>
      <c r="C235" s="4" t="s">
        <v>106</v>
      </c>
      <c r="D235" s="4" t="s">
        <v>36</v>
      </c>
      <c r="E235" s="4" t="s">
        <v>37</v>
      </c>
      <c r="F235" s="5" t="s">
        <v>541</v>
      </c>
      <c r="G235" s="4" t="s">
        <v>38</v>
      </c>
      <c r="H235" s="5" t="s">
        <v>120</v>
      </c>
      <c r="I235" s="4" t="s">
        <v>549</v>
      </c>
      <c r="J235" s="4" t="s">
        <v>7</v>
      </c>
      <c r="K235" s="4" t="s">
        <v>548</v>
      </c>
      <c r="L235" s="4" t="s">
        <v>111</v>
      </c>
      <c r="M235" s="5" t="s">
        <v>112</v>
      </c>
    </row>
    <row r="236" customFormat="false" ht="23.85" hidden="false" customHeight="false" outlineLevel="0" collapsed="false">
      <c r="A236" s="5" t="n">
        <v>232</v>
      </c>
      <c r="B236" s="4" t="s">
        <v>12</v>
      </c>
      <c r="C236" s="4" t="s">
        <v>106</v>
      </c>
      <c r="D236" s="4" t="s">
        <v>36</v>
      </c>
      <c r="E236" s="4" t="s">
        <v>37</v>
      </c>
      <c r="F236" s="5" t="s">
        <v>541</v>
      </c>
      <c r="G236" s="4" t="s">
        <v>38</v>
      </c>
      <c r="H236" s="5" t="s">
        <v>122</v>
      </c>
      <c r="I236" s="4" t="s">
        <v>550</v>
      </c>
      <c r="J236" s="4" t="s">
        <v>7</v>
      </c>
      <c r="K236" s="4" t="s">
        <v>548</v>
      </c>
      <c r="L236" s="4" t="s">
        <v>111</v>
      </c>
      <c r="M236" s="5" t="s">
        <v>112</v>
      </c>
    </row>
    <row r="237" customFormat="false" ht="23.85" hidden="false" customHeight="false" outlineLevel="0" collapsed="false">
      <c r="A237" s="5" t="n">
        <v>233</v>
      </c>
      <c r="B237" s="4" t="s">
        <v>12</v>
      </c>
      <c r="C237" s="4" t="s">
        <v>106</v>
      </c>
      <c r="D237" s="4" t="s">
        <v>36</v>
      </c>
      <c r="E237" s="4" t="s">
        <v>37</v>
      </c>
      <c r="F237" s="5" t="s">
        <v>541</v>
      </c>
      <c r="G237" s="4" t="s">
        <v>38</v>
      </c>
      <c r="H237" s="5" t="s">
        <v>124</v>
      </c>
      <c r="I237" s="4" t="s">
        <v>551</v>
      </c>
      <c r="J237" s="4" t="s">
        <v>7</v>
      </c>
      <c r="K237" s="4" t="s">
        <v>552</v>
      </c>
      <c r="L237" s="4" t="s">
        <v>111</v>
      </c>
      <c r="M237" s="5" t="s">
        <v>112</v>
      </c>
    </row>
    <row r="238" customFormat="false" ht="23.85" hidden="false" customHeight="false" outlineLevel="0" collapsed="false">
      <c r="A238" s="5" t="n">
        <v>234</v>
      </c>
      <c r="B238" s="4" t="s">
        <v>12</v>
      </c>
      <c r="C238" s="4" t="s">
        <v>106</v>
      </c>
      <c r="D238" s="4" t="s">
        <v>36</v>
      </c>
      <c r="E238" s="4" t="s">
        <v>37</v>
      </c>
      <c r="F238" s="5" t="s">
        <v>541</v>
      </c>
      <c r="G238" s="4" t="s">
        <v>38</v>
      </c>
      <c r="H238" s="5" t="s">
        <v>126</v>
      </c>
      <c r="I238" s="4" t="s">
        <v>553</v>
      </c>
      <c r="J238" s="4" t="s">
        <v>7</v>
      </c>
      <c r="K238" s="4" t="s">
        <v>554</v>
      </c>
      <c r="L238" s="4" t="s">
        <v>111</v>
      </c>
      <c r="M238" s="5" t="s">
        <v>112</v>
      </c>
    </row>
    <row r="239" customFormat="false" ht="23.85" hidden="false" customHeight="false" outlineLevel="0" collapsed="false">
      <c r="A239" s="5" t="n">
        <v>235</v>
      </c>
      <c r="B239" s="4" t="s">
        <v>12</v>
      </c>
      <c r="C239" s="4" t="s">
        <v>106</v>
      </c>
      <c r="D239" s="4" t="s">
        <v>36</v>
      </c>
      <c r="E239" s="4" t="s">
        <v>37</v>
      </c>
      <c r="F239" s="5" t="s">
        <v>541</v>
      </c>
      <c r="G239" s="4" t="s">
        <v>38</v>
      </c>
      <c r="H239" s="5" t="s">
        <v>129</v>
      </c>
      <c r="I239" s="4" t="s">
        <v>555</v>
      </c>
      <c r="J239" s="4" t="s">
        <v>7</v>
      </c>
      <c r="K239" s="4" t="s">
        <v>556</v>
      </c>
      <c r="L239" s="4" t="s">
        <v>111</v>
      </c>
      <c r="M239" s="5" t="s">
        <v>112</v>
      </c>
    </row>
    <row r="240" customFormat="false" ht="23.85" hidden="false" customHeight="false" outlineLevel="0" collapsed="false">
      <c r="A240" s="5" t="n">
        <v>236</v>
      </c>
      <c r="B240" s="4" t="s">
        <v>12</v>
      </c>
      <c r="C240" s="4" t="s">
        <v>106</v>
      </c>
      <c r="D240" s="4" t="s">
        <v>36</v>
      </c>
      <c r="E240" s="4" t="s">
        <v>37</v>
      </c>
      <c r="F240" s="5" t="s">
        <v>541</v>
      </c>
      <c r="G240" s="4" t="s">
        <v>38</v>
      </c>
      <c r="H240" s="5" t="s">
        <v>131</v>
      </c>
      <c r="I240" s="4" t="s">
        <v>557</v>
      </c>
      <c r="J240" s="4" t="s">
        <v>7</v>
      </c>
      <c r="K240" s="4" t="s">
        <v>558</v>
      </c>
      <c r="L240" s="4" t="s">
        <v>111</v>
      </c>
      <c r="M240" s="5" t="s">
        <v>112</v>
      </c>
    </row>
    <row r="241" customFormat="false" ht="23.85" hidden="false" customHeight="false" outlineLevel="0" collapsed="false">
      <c r="A241" s="5" t="n">
        <v>237</v>
      </c>
      <c r="B241" s="4" t="s">
        <v>12</v>
      </c>
      <c r="C241" s="4" t="s">
        <v>106</v>
      </c>
      <c r="D241" s="4" t="s">
        <v>36</v>
      </c>
      <c r="E241" s="4" t="s">
        <v>37</v>
      </c>
      <c r="F241" s="5" t="s">
        <v>541</v>
      </c>
      <c r="G241" s="4" t="s">
        <v>38</v>
      </c>
      <c r="H241" s="5" t="s">
        <v>134</v>
      </c>
      <c r="I241" s="4" t="s">
        <v>559</v>
      </c>
      <c r="J241" s="4" t="s">
        <v>7</v>
      </c>
      <c r="K241" s="4" t="s">
        <v>558</v>
      </c>
      <c r="L241" s="4" t="s">
        <v>111</v>
      </c>
      <c r="M241" s="5" t="s">
        <v>112</v>
      </c>
    </row>
    <row r="242" customFormat="false" ht="23.85" hidden="false" customHeight="false" outlineLevel="0" collapsed="false">
      <c r="A242" s="5" t="n">
        <v>238</v>
      </c>
      <c r="B242" s="4" t="s">
        <v>12</v>
      </c>
      <c r="C242" s="4" t="s">
        <v>106</v>
      </c>
      <c r="D242" s="4" t="s">
        <v>36</v>
      </c>
      <c r="E242" s="4" t="s">
        <v>37</v>
      </c>
      <c r="F242" s="5" t="s">
        <v>541</v>
      </c>
      <c r="G242" s="4" t="s">
        <v>38</v>
      </c>
      <c r="H242" s="5" t="s">
        <v>136</v>
      </c>
      <c r="I242" s="4" t="s">
        <v>560</v>
      </c>
      <c r="J242" s="4" t="s">
        <v>7</v>
      </c>
      <c r="K242" s="4" t="s">
        <v>561</v>
      </c>
      <c r="L242" s="4" t="s">
        <v>111</v>
      </c>
      <c r="M242" s="5" t="s">
        <v>112</v>
      </c>
    </row>
    <row r="243" customFormat="false" ht="23.85" hidden="false" customHeight="false" outlineLevel="0" collapsed="false">
      <c r="A243" s="5" t="n">
        <v>239</v>
      </c>
      <c r="B243" s="4" t="s">
        <v>12</v>
      </c>
      <c r="C243" s="4" t="s">
        <v>106</v>
      </c>
      <c r="D243" s="4" t="s">
        <v>36</v>
      </c>
      <c r="E243" s="4" t="s">
        <v>37</v>
      </c>
      <c r="F243" s="5" t="s">
        <v>541</v>
      </c>
      <c r="G243" s="4" t="s">
        <v>38</v>
      </c>
      <c r="H243" s="5" t="s">
        <v>139</v>
      </c>
      <c r="I243" s="4" t="s">
        <v>562</v>
      </c>
      <c r="J243" s="4" t="s">
        <v>7</v>
      </c>
      <c r="K243" s="4" t="s">
        <v>563</v>
      </c>
      <c r="L243" s="4" t="s">
        <v>111</v>
      </c>
      <c r="M243" s="5" t="s">
        <v>112</v>
      </c>
    </row>
    <row r="244" customFormat="false" ht="23.85" hidden="false" customHeight="false" outlineLevel="0" collapsed="false">
      <c r="A244" s="5" t="n">
        <v>240</v>
      </c>
      <c r="B244" s="4" t="s">
        <v>12</v>
      </c>
      <c r="C244" s="4" t="s">
        <v>106</v>
      </c>
      <c r="D244" s="4" t="s">
        <v>36</v>
      </c>
      <c r="E244" s="4" t="s">
        <v>37</v>
      </c>
      <c r="F244" s="5" t="s">
        <v>541</v>
      </c>
      <c r="G244" s="4" t="s">
        <v>38</v>
      </c>
      <c r="H244" s="5" t="s">
        <v>142</v>
      </c>
      <c r="I244" s="4" t="s">
        <v>564</v>
      </c>
      <c r="J244" s="4" t="s">
        <v>7</v>
      </c>
      <c r="K244" s="4" t="s">
        <v>563</v>
      </c>
      <c r="L244" s="4" t="s">
        <v>111</v>
      </c>
      <c r="M244" s="5" t="s">
        <v>112</v>
      </c>
    </row>
    <row r="245" customFormat="false" ht="23.85" hidden="false" customHeight="false" outlineLevel="0" collapsed="false">
      <c r="A245" s="5" t="n">
        <v>241</v>
      </c>
      <c r="B245" s="4" t="s">
        <v>12</v>
      </c>
      <c r="C245" s="4" t="s">
        <v>106</v>
      </c>
      <c r="D245" s="4" t="s">
        <v>36</v>
      </c>
      <c r="E245" s="4" t="s">
        <v>37</v>
      </c>
      <c r="F245" s="5" t="s">
        <v>541</v>
      </c>
      <c r="G245" s="4" t="s">
        <v>38</v>
      </c>
      <c r="H245" s="5" t="s">
        <v>144</v>
      </c>
      <c r="I245" s="4" t="s">
        <v>565</v>
      </c>
      <c r="J245" s="4" t="s">
        <v>7</v>
      </c>
      <c r="K245" s="4" t="s">
        <v>566</v>
      </c>
      <c r="L245" s="4" t="s">
        <v>111</v>
      </c>
      <c r="M245" s="5" t="s">
        <v>112</v>
      </c>
    </row>
    <row r="246" customFormat="false" ht="23.85" hidden="false" customHeight="false" outlineLevel="0" collapsed="false">
      <c r="A246" s="5" t="n">
        <v>242</v>
      </c>
      <c r="B246" s="4" t="s">
        <v>12</v>
      </c>
      <c r="C246" s="4" t="s">
        <v>106</v>
      </c>
      <c r="D246" s="4" t="s">
        <v>36</v>
      </c>
      <c r="E246" s="4" t="s">
        <v>37</v>
      </c>
      <c r="F246" s="5" t="s">
        <v>541</v>
      </c>
      <c r="G246" s="4" t="s">
        <v>38</v>
      </c>
      <c r="H246" s="5" t="s">
        <v>147</v>
      </c>
      <c r="I246" s="4" t="s">
        <v>567</v>
      </c>
      <c r="J246" s="4" t="s">
        <v>7</v>
      </c>
      <c r="K246" s="4" t="s">
        <v>568</v>
      </c>
      <c r="L246" s="4" t="s">
        <v>111</v>
      </c>
      <c r="M246" s="5" t="s">
        <v>112</v>
      </c>
    </row>
    <row r="247" customFormat="false" ht="23.85" hidden="false" customHeight="false" outlineLevel="0" collapsed="false">
      <c r="A247" s="5" t="n">
        <v>243</v>
      </c>
      <c r="B247" s="4" t="s">
        <v>12</v>
      </c>
      <c r="C247" s="4" t="s">
        <v>106</v>
      </c>
      <c r="D247" s="4" t="s">
        <v>36</v>
      </c>
      <c r="E247" s="4" t="s">
        <v>37</v>
      </c>
      <c r="F247" s="5" t="s">
        <v>541</v>
      </c>
      <c r="G247" s="4" t="s">
        <v>38</v>
      </c>
      <c r="H247" s="5" t="s">
        <v>150</v>
      </c>
      <c r="I247" s="4" t="s">
        <v>569</v>
      </c>
      <c r="J247" s="4" t="s">
        <v>7</v>
      </c>
      <c r="K247" s="4" t="s">
        <v>568</v>
      </c>
      <c r="L247" s="4" t="s">
        <v>111</v>
      </c>
      <c r="M247" s="5" t="s">
        <v>112</v>
      </c>
    </row>
    <row r="248" customFormat="false" ht="23.85" hidden="false" customHeight="false" outlineLevel="0" collapsed="false">
      <c r="A248" s="5" t="n">
        <v>244</v>
      </c>
      <c r="B248" s="4" t="s">
        <v>12</v>
      </c>
      <c r="C248" s="4" t="s">
        <v>106</v>
      </c>
      <c r="D248" s="4" t="s">
        <v>36</v>
      </c>
      <c r="E248" s="4" t="s">
        <v>37</v>
      </c>
      <c r="F248" s="5" t="s">
        <v>541</v>
      </c>
      <c r="G248" s="4" t="s">
        <v>38</v>
      </c>
      <c r="H248" s="5" t="s">
        <v>153</v>
      </c>
      <c r="I248" s="4" t="s">
        <v>570</v>
      </c>
      <c r="J248" s="4" t="s">
        <v>7</v>
      </c>
      <c r="K248" s="4" t="s">
        <v>571</v>
      </c>
      <c r="L248" s="4" t="s">
        <v>111</v>
      </c>
      <c r="M248" s="5" t="s">
        <v>112</v>
      </c>
    </row>
    <row r="249" customFormat="false" ht="23.85" hidden="false" customHeight="false" outlineLevel="0" collapsed="false">
      <c r="A249" s="5" t="n">
        <v>245</v>
      </c>
      <c r="B249" s="4" t="s">
        <v>12</v>
      </c>
      <c r="C249" s="4" t="s">
        <v>106</v>
      </c>
      <c r="D249" s="4" t="s">
        <v>36</v>
      </c>
      <c r="E249" s="4" t="s">
        <v>37</v>
      </c>
      <c r="F249" s="5" t="s">
        <v>541</v>
      </c>
      <c r="G249" s="4" t="s">
        <v>38</v>
      </c>
      <c r="H249" s="5" t="s">
        <v>155</v>
      </c>
      <c r="I249" s="4" t="s">
        <v>572</v>
      </c>
      <c r="J249" s="4" t="s">
        <v>7</v>
      </c>
      <c r="K249" s="4" t="s">
        <v>573</v>
      </c>
      <c r="L249" s="4" t="s">
        <v>111</v>
      </c>
      <c r="M249" s="5" t="s">
        <v>112</v>
      </c>
    </row>
    <row r="250" customFormat="false" ht="23.85" hidden="false" customHeight="false" outlineLevel="0" collapsed="false">
      <c r="A250" s="5" t="n">
        <v>246</v>
      </c>
      <c r="B250" s="4" t="s">
        <v>12</v>
      </c>
      <c r="C250" s="4" t="s">
        <v>106</v>
      </c>
      <c r="D250" s="4" t="s">
        <v>36</v>
      </c>
      <c r="E250" s="4" t="s">
        <v>37</v>
      </c>
      <c r="F250" s="5" t="s">
        <v>541</v>
      </c>
      <c r="G250" s="4" t="s">
        <v>38</v>
      </c>
      <c r="H250" s="5" t="s">
        <v>158</v>
      </c>
      <c r="I250" s="4" t="s">
        <v>574</v>
      </c>
      <c r="J250" s="4" t="s">
        <v>7</v>
      </c>
      <c r="K250" s="4" t="s">
        <v>575</v>
      </c>
      <c r="L250" s="4" t="s">
        <v>111</v>
      </c>
      <c r="M250" s="5" t="s">
        <v>112</v>
      </c>
    </row>
    <row r="251" customFormat="false" ht="23.85" hidden="false" customHeight="false" outlineLevel="0" collapsed="false">
      <c r="A251" s="5" t="n">
        <v>247</v>
      </c>
      <c r="B251" s="4" t="s">
        <v>12</v>
      </c>
      <c r="C251" s="4" t="s">
        <v>106</v>
      </c>
      <c r="D251" s="4" t="s">
        <v>36</v>
      </c>
      <c r="E251" s="4" t="s">
        <v>37</v>
      </c>
      <c r="F251" s="5" t="s">
        <v>541</v>
      </c>
      <c r="G251" s="4" t="s">
        <v>38</v>
      </c>
      <c r="H251" s="5" t="s">
        <v>160</v>
      </c>
      <c r="I251" s="4" t="s">
        <v>576</v>
      </c>
      <c r="J251" s="4" t="s">
        <v>7</v>
      </c>
      <c r="K251" s="4" t="s">
        <v>577</v>
      </c>
      <c r="L251" s="4" t="s">
        <v>111</v>
      </c>
      <c r="M251" s="5" t="s">
        <v>112</v>
      </c>
    </row>
    <row r="252" customFormat="false" ht="57.45" hidden="false" customHeight="false" outlineLevel="0" collapsed="false">
      <c r="A252" s="5" t="n">
        <v>248</v>
      </c>
      <c r="B252" s="4" t="s">
        <v>12</v>
      </c>
      <c r="C252" s="4" t="s">
        <v>106</v>
      </c>
      <c r="D252" s="4" t="s">
        <v>36</v>
      </c>
      <c r="E252" s="4" t="s">
        <v>37</v>
      </c>
      <c r="F252" s="5" t="s">
        <v>541</v>
      </c>
      <c r="G252" s="4" t="s">
        <v>38</v>
      </c>
      <c r="H252" s="5" t="s">
        <v>202</v>
      </c>
      <c r="I252" s="4" t="s">
        <v>578</v>
      </c>
      <c r="J252" s="4" t="s">
        <v>9</v>
      </c>
      <c r="K252" s="4" t="s">
        <v>579</v>
      </c>
      <c r="L252" s="4" t="s">
        <v>111</v>
      </c>
      <c r="M252" s="5" t="s">
        <v>205</v>
      </c>
    </row>
    <row r="253" customFormat="false" ht="35.05" hidden="false" customHeight="false" outlineLevel="0" collapsed="false">
      <c r="A253" s="5" t="n">
        <v>249</v>
      </c>
      <c r="B253" s="4" t="s">
        <v>12</v>
      </c>
      <c r="C253" s="4" t="s">
        <v>106</v>
      </c>
      <c r="D253" s="4" t="s">
        <v>36</v>
      </c>
      <c r="E253" s="4" t="s">
        <v>37</v>
      </c>
      <c r="F253" s="5" t="s">
        <v>541</v>
      </c>
      <c r="G253" s="4" t="s">
        <v>38</v>
      </c>
      <c r="H253" s="5" t="s">
        <v>206</v>
      </c>
      <c r="I253" s="4" t="s">
        <v>580</v>
      </c>
      <c r="J253" s="4" t="s">
        <v>9</v>
      </c>
      <c r="K253" s="4" t="s">
        <v>581</v>
      </c>
      <c r="L253" s="4" t="s">
        <v>111</v>
      </c>
      <c r="M253" s="5" t="s">
        <v>205</v>
      </c>
    </row>
    <row r="254" customFormat="false" ht="35.05" hidden="false" customHeight="false" outlineLevel="0" collapsed="false">
      <c r="A254" s="5" t="n">
        <v>250</v>
      </c>
      <c r="B254" s="4" t="s">
        <v>12</v>
      </c>
      <c r="C254" s="4" t="s">
        <v>106</v>
      </c>
      <c r="D254" s="4" t="s">
        <v>36</v>
      </c>
      <c r="E254" s="4" t="s">
        <v>37</v>
      </c>
      <c r="F254" s="5" t="s">
        <v>541</v>
      </c>
      <c r="G254" s="4" t="s">
        <v>38</v>
      </c>
      <c r="H254" s="5" t="s">
        <v>209</v>
      </c>
      <c r="I254" s="4" t="s">
        <v>582</v>
      </c>
      <c r="J254" s="4" t="s">
        <v>9</v>
      </c>
      <c r="K254" s="4" t="s">
        <v>583</v>
      </c>
      <c r="L254" s="4" t="s">
        <v>111</v>
      </c>
      <c r="M254" s="5" t="s">
        <v>205</v>
      </c>
    </row>
    <row r="255" customFormat="false" ht="23.85" hidden="false" customHeight="false" outlineLevel="0" collapsed="false">
      <c r="A255" s="5" t="n">
        <v>251</v>
      </c>
      <c r="B255" s="4" t="s">
        <v>12</v>
      </c>
      <c r="C255" s="4" t="s">
        <v>106</v>
      </c>
      <c r="D255" s="4" t="s">
        <v>36</v>
      </c>
      <c r="E255" s="4" t="s">
        <v>37</v>
      </c>
      <c r="F255" s="5" t="s">
        <v>541</v>
      </c>
      <c r="G255" s="4" t="s">
        <v>38</v>
      </c>
      <c r="H255" s="5" t="s">
        <v>212</v>
      </c>
      <c r="I255" s="4" t="s">
        <v>584</v>
      </c>
      <c r="J255" s="4" t="s">
        <v>9</v>
      </c>
      <c r="K255" s="4" t="s">
        <v>585</v>
      </c>
      <c r="L255" s="4" t="s">
        <v>111</v>
      </c>
      <c r="M255" s="5" t="s">
        <v>205</v>
      </c>
    </row>
    <row r="256" customFormat="false" ht="23.85" hidden="false" customHeight="false" outlineLevel="0" collapsed="false">
      <c r="A256" s="5" t="n">
        <v>252</v>
      </c>
      <c r="B256" s="4" t="s">
        <v>12</v>
      </c>
      <c r="C256" s="4" t="s">
        <v>106</v>
      </c>
      <c r="D256" s="4" t="s">
        <v>36</v>
      </c>
      <c r="E256" s="4" t="s">
        <v>37</v>
      </c>
      <c r="F256" s="5" t="s">
        <v>541</v>
      </c>
      <c r="G256" s="4" t="s">
        <v>38</v>
      </c>
      <c r="H256" s="5" t="s">
        <v>215</v>
      </c>
      <c r="I256" s="4" t="s">
        <v>586</v>
      </c>
      <c r="J256" s="4" t="s">
        <v>9</v>
      </c>
      <c r="K256" s="4" t="s">
        <v>587</v>
      </c>
      <c r="L256" s="4" t="s">
        <v>111</v>
      </c>
      <c r="M256" s="5" t="s">
        <v>205</v>
      </c>
    </row>
    <row r="257" customFormat="false" ht="35.05" hidden="false" customHeight="false" outlineLevel="0" collapsed="false">
      <c r="A257" s="5" t="n">
        <v>253</v>
      </c>
      <c r="B257" s="4" t="s">
        <v>12</v>
      </c>
      <c r="C257" s="4" t="s">
        <v>106</v>
      </c>
      <c r="D257" s="4" t="s">
        <v>36</v>
      </c>
      <c r="E257" s="4" t="s">
        <v>37</v>
      </c>
      <c r="F257" s="5" t="s">
        <v>541</v>
      </c>
      <c r="G257" s="4" t="s">
        <v>38</v>
      </c>
      <c r="H257" s="5" t="s">
        <v>218</v>
      </c>
      <c r="I257" s="4" t="s">
        <v>588</v>
      </c>
      <c r="J257" s="4" t="s">
        <v>9</v>
      </c>
      <c r="K257" s="4" t="s">
        <v>589</v>
      </c>
      <c r="L257" s="4" t="s">
        <v>111</v>
      </c>
      <c r="M257" s="5" t="s">
        <v>205</v>
      </c>
    </row>
    <row r="258" customFormat="false" ht="23.85" hidden="false" customHeight="false" outlineLevel="0" collapsed="false">
      <c r="A258" s="5" t="n">
        <v>254</v>
      </c>
      <c r="B258" s="4" t="s">
        <v>12</v>
      </c>
      <c r="C258" s="4" t="s">
        <v>106</v>
      </c>
      <c r="D258" s="4" t="s">
        <v>36</v>
      </c>
      <c r="E258" s="4" t="s">
        <v>37</v>
      </c>
      <c r="F258" s="5" t="s">
        <v>541</v>
      </c>
      <c r="G258" s="4" t="s">
        <v>38</v>
      </c>
      <c r="H258" s="5" t="s">
        <v>221</v>
      </c>
      <c r="I258" s="4" t="s">
        <v>590</v>
      </c>
      <c r="J258" s="4" t="s">
        <v>9</v>
      </c>
      <c r="K258" s="4" t="s">
        <v>591</v>
      </c>
      <c r="L258" s="4" t="s">
        <v>111</v>
      </c>
      <c r="M258" s="5" t="s">
        <v>205</v>
      </c>
    </row>
    <row r="259" customFormat="false" ht="23.85" hidden="false" customHeight="false" outlineLevel="0" collapsed="false">
      <c r="A259" s="5" t="n">
        <v>255</v>
      </c>
      <c r="B259" s="4" t="s">
        <v>12</v>
      </c>
      <c r="C259" s="4" t="s">
        <v>106</v>
      </c>
      <c r="D259" s="4" t="s">
        <v>36</v>
      </c>
      <c r="E259" s="4" t="s">
        <v>37</v>
      </c>
      <c r="F259" s="5" t="s">
        <v>541</v>
      </c>
      <c r="G259" s="4" t="s">
        <v>38</v>
      </c>
      <c r="H259" s="5" t="s">
        <v>490</v>
      </c>
      <c r="I259" s="4" t="s">
        <v>592</v>
      </c>
      <c r="J259" s="4" t="s">
        <v>9</v>
      </c>
      <c r="K259" s="4" t="s">
        <v>593</v>
      </c>
      <c r="L259" s="4" t="s">
        <v>111</v>
      </c>
      <c r="M259" s="5" t="s">
        <v>205</v>
      </c>
    </row>
    <row r="260" customFormat="false" ht="35.05" hidden="false" customHeight="false" outlineLevel="0" collapsed="false">
      <c r="A260" s="5" t="n">
        <v>256</v>
      </c>
      <c r="B260" s="4" t="s">
        <v>12</v>
      </c>
      <c r="C260" s="4" t="s">
        <v>106</v>
      </c>
      <c r="D260" s="4" t="s">
        <v>36</v>
      </c>
      <c r="E260" s="4" t="s">
        <v>37</v>
      </c>
      <c r="F260" s="5" t="s">
        <v>541</v>
      </c>
      <c r="G260" s="4" t="s">
        <v>38</v>
      </c>
      <c r="H260" s="5" t="s">
        <v>493</v>
      </c>
      <c r="I260" s="4" t="s">
        <v>594</v>
      </c>
      <c r="J260" s="4" t="s">
        <v>9</v>
      </c>
      <c r="K260" s="4" t="s">
        <v>595</v>
      </c>
      <c r="L260" s="4" t="s">
        <v>111</v>
      </c>
      <c r="M260" s="5" t="s">
        <v>205</v>
      </c>
    </row>
    <row r="261" customFormat="false" ht="23.85" hidden="false" customHeight="false" outlineLevel="0" collapsed="false">
      <c r="A261" s="5" t="n">
        <v>257</v>
      </c>
      <c r="B261" s="4" t="s">
        <v>12</v>
      </c>
      <c r="C261" s="4" t="s">
        <v>106</v>
      </c>
      <c r="D261" s="4" t="s">
        <v>36</v>
      </c>
      <c r="E261" s="4" t="s">
        <v>37</v>
      </c>
      <c r="F261" s="5" t="s">
        <v>541</v>
      </c>
      <c r="G261" s="4" t="s">
        <v>38</v>
      </c>
      <c r="H261" s="5" t="s">
        <v>596</v>
      </c>
      <c r="I261" s="4" t="s">
        <v>597</v>
      </c>
      <c r="J261" s="4" t="s">
        <v>9</v>
      </c>
      <c r="K261" s="4" t="s">
        <v>598</v>
      </c>
      <c r="L261" s="4" t="s">
        <v>111</v>
      </c>
      <c r="M261" s="5" t="s">
        <v>205</v>
      </c>
    </row>
    <row r="262" customFormat="false" ht="23.85" hidden="false" customHeight="false" outlineLevel="0" collapsed="false">
      <c r="A262" s="5" t="n">
        <v>258</v>
      </c>
      <c r="B262" s="4" t="s">
        <v>12</v>
      </c>
      <c r="C262" s="4" t="s">
        <v>106</v>
      </c>
      <c r="D262" s="4" t="s">
        <v>39</v>
      </c>
      <c r="E262" s="4" t="s">
        <v>40</v>
      </c>
      <c r="F262" s="5" t="s">
        <v>599</v>
      </c>
      <c r="G262" s="4" t="s">
        <v>41</v>
      </c>
      <c r="H262" s="5" t="s">
        <v>108</v>
      </c>
      <c r="I262" s="4" t="s">
        <v>600</v>
      </c>
      <c r="J262" s="4" t="s">
        <v>7</v>
      </c>
      <c r="K262" s="4" t="s">
        <v>577</v>
      </c>
      <c r="L262" s="4" t="s">
        <v>111</v>
      </c>
      <c r="M262" s="5" t="s">
        <v>112</v>
      </c>
    </row>
    <row r="263" customFormat="false" ht="23.85" hidden="false" customHeight="false" outlineLevel="0" collapsed="false">
      <c r="A263" s="5" t="n">
        <v>259</v>
      </c>
      <c r="B263" s="4" t="s">
        <v>12</v>
      </c>
      <c r="C263" s="4" t="s">
        <v>106</v>
      </c>
      <c r="D263" s="4" t="s">
        <v>39</v>
      </c>
      <c r="E263" s="4" t="s">
        <v>40</v>
      </c>
      <c r="F263" s="5" t="s">
        <v>599</v>
      </c>
      <c r="G263" s="4" t="s">
        <v>41</v>
      </c>
      <c r="H263" s="5" t="s">
        <v>113</v>
      </c>
      <c r="I263" s="4" t="s">
        <v>601</v>
      </c>
      <c r="J263" s="4" t="s">
        <v>7</v>
      </c>
      <c r="K263" s="4" t="s">
        <v>577</v>
      </c>
      <c r="L263" s="4" t="s">
        <v>111</v>
      </c>
      <c r="M263" s="5" t="s">
        <v>112</v>
      </c>
    </row>
    <row r="264" customFormat="false" ht="23.85" hidden="false" customHeight="false" outlineLevel="0" collapsed="false">
      <c r="A264" s="5" t="n">
        <v>260</v>
      </c>
      <c r="B264" s="4" t="s">
        <v>12</v>
      </c>
      <c r="C264" s="4" t="s">
        <v>106</v>
      </c>
      <c r="D264" s="4" t="s">
        <v>39</v>
      </c>
      <c r="E264" s="4" t="s">
        <v>40</v>
      </c>
      <c r="F264" s="5" t="s">
        <v>599</v>
      </c>
      <c r="G264" s="4" t="s">
        <v>41</v>
      </c>
      <c r="H264" s="5" t="s">
        <v>115</v>
      </c>
      <c r="I264" s="4" t="s">
        <v>602</v>
      </c>
      <c r="J264" s="4" t="s">
        <v>7</v>
      </c>
      <c r="K264" s="4" t="s">
        <v>603</v>
      </c>
      <c r="L264" s="4" t="s">
        <v>111</v>
      </c>
      <c r="M264" s="5" t="s">
        <v>112</v>
      </c>
    </row>
    <row r="265" customFormat="false" ht="23.85" hidden="false" customHeight="false" outlineLevel="0" collapsed="false">
      <c r="A265" s="5" t="n">
        <v>261</v>
      </c>
      <c r="B265" s="4" t="s">
        <v>12</v>
      </c>
      <c r="C265" s="4" t="s">
        <v>106</v>
      </c>
      <c r="D265" s="4" t="s">
        <v>39</v>
      </c>
      <c r="E265" s="4" t="s">
        <v>40</v>
      </c>
      <c r="F265" s="5" t="s">
        <v>599</v>
      </c>
      <c r="G265" s="4" t="s">
        <v>41</v>
      </c>
      <c r="H265" s="5" t="s">
        <v>118</v>
      </c>
      <c r="I265" s="4" t="s">
        <v>604</v>
      </c>
      <c r="J265" s="4" t="s">
        <v>7</v>
      </c>
      <c r="K265" s="4" t="s">
        <v>543</v>
      </c>
      <c r="L265" s="4" t="s">
        <v>111</v>
      </c>
      <c r="M265" s="5" t="s">
        <v>112</v>
      </c>
    </row>
    <row r="266" customFormat="false" ht="23.85" hidden="false" customHeight="false" outlineLevel="0" collapsed="false">
      <c r="A266" s="5" t="n">
        <v>262</v>
      </c>
      <c r="B266" s="4" t="s">
        <v>12</v>
      </c>
      <c r="C266" s="4" t="s">
        <v>106</v>
      </c>
      <c r="D266" s="4" t="s">
        <v>39</v>
      </c>
      <c r="E266" s="4" t="s">
        <v>40</v>
      </c>
      <c r="F266" s="5" t="s">
        <v>599</v>
      </c>
      <c r="G266" s="4" t="s">
        <v>41</v>
      </c>
      <c r="H266" s="5" t="s">
        <v>120</v>
      </c>
      <c r="I266" s="4" t="s">
        <v>605</v>
      </c>
      <c r="J266" s="4" t="s">
        <v>7</v>
      </c>
      <c r="K266" s="4" t="s">
        <v>543</v>
      </c>
      <c r="L266" s="4" t="s">
        <v>111</v>
      </c>
      <c r="M266" s="5" t="s">
        <v>112</v>
      </c>
    </row>
    <row r="267" customFormat="false" ht="23.85" hidden="false" customHeight="false" outlineLevel="0" collapsed="false">
      <c r="A267" s="5" t="n">
        <v>263</v>
      </c>
      <c r="B267" s="4" t="s">
        <v>12</v>
      </c>
      <c r="C267" s="4" t="s">
        <v>106</v>
      </c>
      <c r="D267" s="4" t="s">
        <v>39</v>
      </c>
      <c r="E267" s="4" t="s">
        <v>40</v>
      </c>
      <c r="F267" s="5" t="s">
        <v>599</v>
      </c>
      <c r="G267" s="4" t="s">
        <v>41</v>
      </c>
      <c r="H267" s="5" t="s">
        <v>122</v>
      </c>
      <c r="I267" s="4" t="s">
        <v>606</v>
      </c>
      <c r="J267" s="4" t="s">
        <v>7</v>
      </c>
      <c r="K267" s="4" t="s">
        <v>543</v>
      </c>
      <c r="L267" s="4" t="s">
        <v>111</v>
      </c>
      <c r="M267" s="5" t="s">
        <v>112</v>
      </c>
    </row>
    <row r="268" customFormat="false" ht="23.85" hidden="false" customHeight="false" outlineLevel="0" collapsed="false">
      <c r="A268" s="5" t="n">
        <v>264</v>
      </c>
      <c r="B268" s="4" t="s">
        <v>12</v>
      </c>
      <c r="C268" s="4" t="s">
        <v>106</v>
      </c>
      <c r="D268" s="4" t="s">
        <v>39</v>
      </c>
      <c r="E268" s="4" t="s">
        <v>40</v>
      </c>
      <c r="F268" s="5" t="s">
        <v>599</v>
      </c>
      <c r="G268" s="4" t="s">
        <v>41</v>
      </c>
      <c r="H268" s="5" t="s">
        <v>124</v>
      </c>
      <c r="I268" s="4" t="s">
        <v>607</v>
      </c>
      <c r="J268" s="4" t="s">
        <v>7</v>
      </c>
      <c r="K268" s="4" t="s">
        <v>543</v>
      </c>
      <c r="L268" s="4" t="s">
        <v>111</v>
      </c>
      <c r="M268" s="5" t="s">
        <v>112</v>
      </c>
    </row>
    <row r="269" customFormat="false" ht="23.85" hidden="false" customHeight="false" outlineLevel="0" collapsed="false">
      <c r="A269" s="5" t="n">
        <v>265</v>
      </c>
      <c r="B269" s="4" t="s">
        <v>12</v>
      </c>
      <c r="C269" s="4" t="s">
        <v>106</v>
      </c>
      <c r="D269" s="4" t="s">
        <v>39</v>
      </c>
      <c r="E269" s="4" t="s">
        <v>40</v>
      </c>
      <c r="F269" s="5" t="s">
        <v>599</v>
      </c>
      <c r="G269" s="4" t="s">
        <v>41</v>
      </c>
      <c r="H269" s="5" t="s">
        <v>126</v>
      </c>
      <c r="I269" s="4" t="s">
        <v>608</v>
      </c>
      <c r="J269" s="4" t="s">
        <v>7</v>
      </c>
      <c r="K269" s="4" t="s">
        <v>546</v>
      </c>
      <c r="L269" s="4" t="s">
        <v>111</v>
      </c>
      <c r="M269" s="5" t="s">
        <v>112</v>
      </c>
    </row>
    <row r="270" customFormat="false" ht="23.85" hidden="false" customHeight="false" outlineLevel="0" collapsed="false">
      <c r="A270" s="5" t="n">
        <v>266</v>
      </c>
      <c r="B270" s="4" t="s">
        <v>12</v>
      </c>
      <c r="C270" s="4" t="s">
        <v>106</v>
      </c>
      <c r="D270" s="4" t="s">
        <v>39</v>
      </c>
      <c r="E270" s="4" t="s">
        <v>40</v>
      </c>
      <c r="F270" s="5" t="s">
        <v>599</v>
      </c>
      <c r="G270" s="4" t="s">
        <v>41</v>
      </c>
      <c r="H270" s="5" t="s">
        <v>129</v>
      </c>
      <c r="I270" s="4" t="s">
        <v>609</v>
      </c>
      <c r="J270" s="4" t="s">
        <v>7</v>
      </c>
      <c r="K270" s="4" t="s">
        <v>548</v>
      </c>
      <c r="L270" s="4" t="s">
        <v>111</v>
      </c>
      <c r="M270" s="5" t="s">
        <v>112</v>
      </c>
    </row>
    <row r="271" customFormat="false" ht="23.85" hidden="false" customHeight="false" outlineLevel="0" collapsed="false">
      <c r="A271" s="5" t="n">
        <v>267</v>
      </c>
      <c r="B271" s="4" t="s">
        <v>12</v>
      </c>
      <c r="C271" s="4" t="s">
        <v>106</v>
      </c>
      <c r="D271" s="4" t="s">
        <v>39</v>
      </c>
      <c r="E271" s="4" t="s">
        <v>40</v>
      </c>
      <c r="F271" s="5" t="s">
        <v>599</v>
      </c>
      <c r="G271" s="4" t="s">
        <v>41</v>
      </c>
      <c r="H271" s="5" t="s">
        <v>131</v>
      </c>
      <c r="I271" s="4" t="s">
        <v>610</v>
      </c>
      <c r="J271" s="4" t="s">
        <v>7</v>
      </c>
      <c r="K271" s="4" t="s">
        <v>552</v>
      </c>
      <c r="L271" s="4" t="s">
        <v>111</v>
      </c>
      <c r="M271" s="5" t="s">
        <v>112</v>
      </c>
    </row>
    <row r="272" customFormat="false" ht="23.85" hidden="false" customHeight="false" outlineLevel="0" collapsed="false">
      <c r="A272" s="5" t="n">
        <v>268</v>
      </c>
      <c r="B272" s="4" t="s">
        <v>12</v>
      </c>
      <c r="C272" s="4" t="s">
        <v>106</v>
      </c>
      <c r="D272" s="4" t="s">
        <v>39</v>
      </c>
      <c r="E272" s="4" t="s">
        <v>40</v>
      </c>
      <c r="F272" s="5" t="s">
        <v>599</v>
      </c>
      <c r="G272" s="4" t="s">
        <v>41</v>
      </c>
      <c r="H272" s="5" t="s">
        <v>134</v>
      </c>
      <c r="I272" s="4" t="s">
        <v>611</v>
      </c>
      <c r="J272" s="4" t="s">
        <v>7</v>
      </c>
      <c r="K272" s="4" t="s">
        <v>554</v>
      </c>
      <c r="L272" s="4" t="s">
        <v>111</v>
      </c>
      <c r="M272" s="5" t="s">
        <v>112</v>
      </c>
    </row>
    <row r="273" customFormat="false" ht="23.85" hidden="false" customHeight="false" outlineLevel="0" collapsed="false">
      <c r="A273" s="5" t="n">
        <v>269</v>
      </c>
      <c r="B273" s="4" t="s">
        <v>12</v>
      </c>
      <c r="C273" s="4" t="s">
        <v>106</v>
      </c>
      <c r="D273" s="4" t="s">
        <v>39</v>
      </c>
      <c r="E273" s="4" t="s">
        <v>40</v>
      </c>
      <c r="F273" s="5" t="s">
        <v>599</v>
      </c>
      <c r="G273" s="4" t="s">
        <v>41</v>
      </c>
      <c r="H273" s="5" t="s">
        <v>136</v>
      </c>
      <c r="I273" s="4" t="s">
        <v>612</v>
      </c>
      <c r="J273" s="4" t="s">
        <v>7</v>
      </c>
      <c r="K273" s="4" t="s">
        <v>554</v>
      </c>
      <c r="L273" s="4" t="s">
        <v>111</v>
      </c>
      <c r="M273" s="5" t="s">
        <v>112</v>
      </c>
    </row>
    <row r="274" customFormat="false" ht="23.85" hidden="false" customHeight="false" outlineLevel="0" collapsed="false">
      <c r="A274" s="5" t="n">
        <v>270</v>
      </c>
      <c r="B274" s="4" t="s">
        <v>12</v>
      </c>
      <c r="C274" s="4" t="s">
        <v>106</v>
      </c>
      <c r="D274" s="4" t="s">
        <v>39</v>
      </c>
      <c r="E274" s="4" t="s">
        <v>40</v>
      </c>
      <c r="F274" s="5" t="s">
        <v>599</v>
      </c>
      <c r="G274" s="4" t="s">
        <v>41</v>
      </c>
      <c r="H274" s="5" t="s">
        <v>139</v>
      </c>
      <c r="I274" s="4" t="s">
        <v>613</v>
      </c>
      <c r="J274" s="4" t="s">
        <v>7</v>
      </c>
      <c r="K274" s="4" t="s">
        <v>558</v>
      </c>
      <c r="L274" s="4" t="s">
        <v>111</v>
      </c>
      <c r="M274" s="5" t="s">
        <v>112</v>
      </c>
    </row>
    <row r="275" customFormat="false" ht="23.85" hidden="false" customHeight="false" outlineLevel="0" collapsed="false">
      <c r="A275" s="5" t="n">
        <v>271</v>
      </c>
      <c r="B275" s="4" t="s">
        <v>12</v>
      </c>
      <c r="C275" s="4" t="s">
        <v>106</v>
      </c>
      <c r="D275" s="4" t="s">
        <v>39</v>
      </c>
      <c r="E275" s="4" t="s">
        <v>40</v>
      </c>
      <c r="F275" s="5" t="s">
        <v>599</v>
      </c>
      <c r="G275" s="4" t="s">
        <v>41</v>
      </c>
      <c r="H275" s="5" t="s">
        <v>142</v>
      </c>
      <c r="I275" s="4" t="s">
        <v>614</v>
      </c>
      <c r="J275" s="4" t="s">
        <v>7</v>
      </c>
      <c r="K275" s="4" t="s">
        <v>558</v>
      </c>
      <c r="L275" s="4" t="s">
        <v>111</v>
      </c>
      <c r="M275" s="5" t="s">
        <v>112</v>
      </c>
    </row>
    <row r="276" customFormat="false" ht="23.85" hidden="false" customHeight="false" outlineLevel="0" collapsed="false">
      <c r="A276" s="5" t="n">
        <v>272</v>
      </c>
      <c r="B276" s="4" t="s">
        <v>12</v>
      </c>
      <c r="C276" s="4" t="s">
        <v>106</v>
      </c>
      <c r="D276" s="4" t="s">
        <v>39</v>
      </c>
      <c r="E276" s="4" t="s">
        <v>40</v>
      </c>
      <c r="F276" s="5" t="s">
        <v>599</v>
      </c>
      <c r="G276" s="4" t="s">
        <v>41</v>
      </c>
      <c r="H276" s="5" t="s">
        <v>144</v>
      </c>
      <c r="I276" s="4" t="s">
        <v>615</v>
      </c>
      <c r="J276" s="4" t="s">
        <v>7</v>
      </c>
      <c r="K276" s="4" t="s">
        <v>558</v>
      </c>
      <c r="L276" s="4" t="s">
        <v>111</v>
      </c>
      <c r="M276" s="5" t="s">
        <v>112</v>
      </c>
    </row>
    <row r="277" customFormat="false" ht="23.85" hidden="false" customHeight="false" outlineLevel="0" collapsed="false">
      <c r="A277" s="5" t="n">
        <v>273</v>
      </c>
      <c r="B277" s="4" t="s">
        <v>12</v>
      </c>
      <c r="C277" s="4" t="s">
        <v>106</v>
      </c>
      <c r="D277" s="4" t="s">
        <v>39</v>
      </c>
      <c r="E277" s="4" t="s">
        <v>40</v>
      </c>
      <c r="F277" s="5" t="s">
        <v>599</v>
      </c>
      <c r="G277" s="4" t="s">
        <v>41</v>
      </c>
      <c r="H277" s="5" t="s">
        <v>147</v>
      </c>
      <c r="I277" s="4" t="s">
        <v>616</v>
      </c>
      <c r="J277" s="4" t="s">
        <v>7</v>
      </c>
      <c r="K277" s="4" t="s">
        <v>561</v>
      </c>
      <c r="L277" s="4" t="s">
        <v>111</v>
      </c>
      <c r="M277" s="5" t="s">
        <v>112</v>
      </c>
    </row>
    <row r="278" customFormat="false" ht="23.85" hidden="false" customHeight="false" outlineLevel="0" collapsed="false">
      <c r="A278" s="5" t="n">
        <v>274</v>
      </c>
      <c r="B278" s="4" t="s">
        <v>12</v>
      </c>
      <c r="C278" s="4" t="s">
        <v>106</v>
      </c>
      <c r="D278" s="4" t="s">
        <v>39</v>
      </c>
      <c r="E278" s="4" t="s">
        <v>40</v>
      </c>
      <c r="F278" s="5" t="s">
        <v>599</v>
      </c>
      <c r="G278" s="4" t="s">
        <v>41</v>
      </c>
      <c r="H278" s="5" t="s">
        <v>150</v>
      </c>
      <c r="I278" s="4" t="s">
        <v>617</v>
      </c>
      <c r="J278" s="4" t="s">
        <v>7</v>
      </c>
      <c r="K278" s="4" t="s">
        <v>563</v>
      </c>
      <c r="L278" s="4" t="s">
        <v>111</v>
      </c>
      <c r="M278" s="5" t="s">
        <v>112</v>
      </c>
    </row>
    <row r="279" customFormat="false" ht="23.85" hidden="false" customHeight="false" outlineLevel="0" collapsed="false">
      <c r="A279" s="5" t="n">
        <v>275</v>
      </c>
      <c r="B279" s="4" t="s">
        <v>12</v>
      </c>
      <c r="C279" s="4" t="s">
        <v>106</v>
      </c>
      <c r="D279" s="4" t="s">
        <v>39</v>
      </c>
      <c r="E279" s="4" t="s">
        <v>40</v>
      </c>
      <c r="F279" s="5" t="s">
        <v>599</v>
      </c>
      <c r="G279" s="4" t="s">
        <v>41</v>
      </c>
      <c r="H279" s="5" t="s">
        <v>153</v>
      </c>
      <c r="I279" s="4" t="s">
        <v>618</v>
      </c>
      <c r="J279" s="4" t="s">
        <v>7</v>
      </c>
      <c r="K279" s="4" t="s">
        <v>563</v>
      </c>
      <c r="L279" s="4" t="s">
        <v>111</v>
      </c>
      <c r="M279" s="5" t="s">
        <v>112</v>
      </c>
    </row>
    <row r="280" customFormat="false" ht="23.85" hidden="false" customHeight="false" outlineLevel="0" collapsed="false">
      <c r="A280" s="5" t="n">
        <v>276</v>
      </c>
      <c r="B280" s="4" t="s">
        <v>12</v>
      </c>
      <c r="C280" s="4" t="s">
        <v>106</v>
      </c>
      <c r="D280" s="4" t="s">
        <v>39</v>
      </c>
      <c r="E280" s="4" t="s">
        <v>40</v>
      </c>
      <c r="F280" s="5" t="s">
        <v>599</v>
      </c>
      <c r="G280" s="4" t="s">
        <v>41</v>
      </c>
      <c r="H280" s="5" t="s">
        <v>155</v>
      </c>
      <c r="I280" s="4" t="s">
        <v>619</v>
      </c>
      <c r="J280" s="4" t="s">
        <v>7</v>
      </c>
      <c r="K280" s="4" t="s">
        <v>563</v>
      </c>
      <c r="L280" s="4" t="s">
        <v>111</v>
      </c>
      <c r="M280" s="5" t="s">
        <v>112</v>
      </c>
    </row>
    <row r="281" customFormat="false" ht="23.85" hidden="false" customHeight="false" outlineLevel="0" collapsed="false">
      <c r="A281" s="5" t="n">
        <v>277</v>
      </c>
      <c r="B281" s="4" t="s">
        <v>12</v>
      </c>
      <c r="C281" s="4" t="s">
        <v>106</v>
      </c>
      <c r="D281" s="4" t="s">
        <v>39</v>
      </c>
      <c r="E281" s="4" t="s">
        <v>40</v>
      </c>
      <c r="F281" s="5" t="s">
        <v>599</v>
      </c>
      <c r="G281" s="4" t="s">
        <v>41</v>
      </c>
      <c r="H281" s="5" t="s">
        <v>158</v>
      </c>
      <c r="I281" s="4" t="s">
        <v>620</v>
      </c>
      <c r="J281" s="4" t="s">
        <v>7</v>
      </c>
      <c r="K281" s="4" t="s">
        <v>568</v>
      </c>
      <c r="L281" s="4" t="s">
        <v>111</v>
      </c>
      <c r="M281" s="5" t="s">
        <v>112</v>
      </c>
    </row>
    <row r="282" customFormat="false" ht="57.45" hidden="false" customHeight="false" outlineLevel="0" collapsed="false">
      <c r="A282" s="5" t="n">
        <v>278</v>
      </c>
      <c r="B282" s="4" t="s">
        <v>12</v>
      </c>
      <c r="C282" s="4" t="s">
        <v>106</v>
      </c>
      <c r="D282" s="4" t="s">
        <v>39</v>
      </c>
      <c r="E282" s="4" t="s">
        <v>40</v>
      </c>
      <c r="F282" s="5" t="s">
        <v>599</v>
      </c>
      <c r="G282" s="4" t="s">
        <v>41</v>
      </c>
      <c r="H282" s="5" t="s">
        <v>202</v>
      </c>
      <c r="I282" s="4" t="s">
        <v>621</v>
      </c>
      <c r="J282" s="4" t="s">
        <v>9</v>
      </c>
      <c r="K282" s="4" t="s">
        <v>622</v>
      </c>
      <c r="L282" s="4" t="s">
        <v>111</v>
      </c>
      <c r="M282" s="5" t="s">
        <v>205</v>
      </c>
    </row>
    <row r="283" customFormat="false" ht="46.25" hidden="false" customHeight="false" outlineLevel="0" collapsed="false">
      <c r="A283" s="5" t="n">
        <v>279</v>
      </c>
      <c r="B283" s="4" t="s">
        <v>12</v>
      </c>
      <c r="C283" s="4" t="s">
        <v>106</v>
      </c>
      <c r="D283" s="4" t="s">
        <v>39</v>
      </c>
      <c r="E283" s="4" t="s">
        <v>40</v>
      </c>
      <c r="F283" s="5" t="s">
        <v>599</v>
      </c>
      <c r="G283" s="4" t="s">
        <v>41</v>
      </c>
      <c r="H283" s="5" t="s">
        <v>206</v>
      </c>
      <c r="I283" s="4" t="s">
        <v>623</v>
      </c>
      <c r="J283" s="4" t="s">
        <v>9</v>
      </c>
      <c r="K283" s="4" t="s">
        <v>624</v>
      </c>
      <c r="L283" s="4" t="s">
        <v>111</v>
      </c>
      <c r="M283" s="5" t="s">
        <v>205</v>
      </c>
    </row>
    <row r="284" customFormat="false" ht="46.25" hidden="false" customHeight="false" outlineLevel="0" collapsed="false">
      <c r="A284" s="5" t="n">
        <v>280</v>
      </c>
      <c r="B284" s="4" t="s">
        <v>12</v>
      </c>
      <c r="C284" s="4" t="s">
        <v>106</v>
      </c>
      <c r="D284" s="4" t="s">
        <v>39</v>
      </c>
      <c r="E284" s="4" t="s">
        <v>40</v>
      </c>
      <c r="F284" s="5" t="s">
        <v>599</v>
      </c>
      <c r="G284" s="4" t="s">
        <v>41</v>
      </c>
      <c r="H284" s="5" t="s">
        <v>209</v>
      </c>
      <c r="I284" s="4" t="s">
        <v>625</v>
      </c>
      <c r="J284" s="4" t="s">
        <v>9</v>
      </c>
      <c r="K284" s="4" t="s">
        <v>626</v>
      </c>
      <c r="L284" s="4" t="s">
        <v>111</v>
      </c>
      <c r="M284" s="5" t="s">
        <v>205</v>
      </c>
    </row>
    <row r="285" customFormat="false" ht="35.05" hidden="false" customHeight="false" outlineLevel="0" collapsed="false">
      <c r="A285" s="5" t="n">
        <v>281</v>
      </c>
      <c r="B285" s="4" t="s">
        <v>12</v>
      </c>
      <c r="C285" s="4" t="s">
        <v>106</v>
      </c>
      <c r="D285" s="4" t="s">
        <v>39</v>
      </c>
      <c r="E285" s="4" t="s">
        <v>40</v>
      </c>
      <c r="F285" s="5" t="s">
        <v>599</v>
      </c>
      <c r="G285" s="4" t="s">
        <v>41</v>
      </c>
      <c r="H285" s="5" t="s">
        <v>212</v>
      </c>
      <c r="I285" s="4" t="s">
        <v>627</v>
      </c>
      <c r="J285" s="4" t="s">
        <v>9</v>
      </c>
      <c r="K285" s="4" t="s">
        <v>628</v>
      </c>
      <c r="L285" s="4" t="s">
        <v>111</v>
      </c>
      <c r="M285" s="5" t="s">
        <v>205</v>
      </c>
    </row>
    <row r="286" customFormat="false" ht="35.05" hidden="false" customHeight="false" outlineLevel="0" collapsed="false">
      <c r="A286" s="5" t="n">
        <v>282</v>
      </c>
      <c r="B286" s="4" t="s">
        <v>12</v>
      </c>
      <c r="C286" s="4" t="s">
        <v>106</v>
      </c>
      <c r="D286" s="4" t="s">
        <v>39</v>
      </c>
      <c r="E286" s="4" t="s">
        <v>40</v>
      </c>
      <c r="F286" s="5" t="s">
        <v>599</v>
      </c>
      <c r="G286" s="4" t="s">
        <v>41</v>
      </c>
      <c r="H286" s="5" t="s">
        <v>215</v>
      </c>
      <c r="I286" s="4" t="s">
        <v>629</v>
      </c>
      <c r="J286" s="4" t="s">
        <v>9</v>
      </c>
      <c r="K286" s="4" t="s">
        <v>630</v>
      </c>
      <c r="L286" s="4" t="s">
        <v>111</v>
      </c>
      <c r="M286" s="5" t="s">
        <v>205</v>
      </c>
    </row>
    <row r="287" customFormat="false" ht="23.85" hidden="false" customHeight="false" outlineLevel="0" collapsed="false">
      <c r="A287" s="5" t="n">
        <v>283</v>
      </c>
      <c r="B287" s="4" t="s">
        <v>12</v>
      </c>
      <c r="C287" s="4" t="s">
        <v>106</v>
      </c>
      <c r="D287" s="4" t="s">
        <v>39</v>
      </c>
      <c r="E287" s="4" t="s">
        <v>40</v>
      </c>
      <c r="F287" s="5" t="s">
        <v>599</v>
      </c>
      <c r="G287" s="4" t="s">
        <v>41</v>
      </c>
      <c r="H287" s="5" t="s">
        <v>218</v>
      </c>
      <c r="I287" s="4" t="s">
        <v>631</v>
      </c>
      <c r="J287" s="4" t="s">
        <v>9</v>
      </c>
      <c r="K287" s="4" t="s">
        <v>632</v>
      </c>
      <c r="L287" s="4" t="s">
        <v>111</v>
      </c>
      <c r="M287" s="5" t="s">
        <v>205</v>
      </c>
    </row>
    <row r="288" customFormat="false" ht="46.25" hidden="false" customHeight="false" outlineLevel="0" collapsed="false">
      <c r="A288" s="5" t="n">
        <v>284</v>
      </c>
      <c r="B288" s="4" t="s">
        <v>12</v>
      </c>
      <c r="C288" s="4" t="s">
        <v>106</v>
      </c>
      <c r="D288" s="4" t="s">
        <v>39</v>
      </c>
      <c r="E288" s="4" t="s">
        <v>40</v>
      </c>
      <c r="F288" s="5" t="s">
        <v>599</v>
      </c>
      <c r="G288" s="4" t="s">
        <v>41</v>
      </c>
      <c r="H288" s="5" t="s">
        <v>221</v>
      </c>
      <c r="I288" s="4" t="s">
        <v>633</v>
      </c>
      <c r="J288" s="4" t="s">
        <v>9</v>
      </c>
      <c r="K288" s="4" t="s">
        <v>634</v>
      </c>
      <c r="L288" s="4" t="s">
        <v>111</v>
      </c>
      <c r="M288" s="5" t="s">
        <v>205</v>
      </c>
    </row>
    <row r="289" customFormat="false" ht="35.05" hidden="false" customHeight="false" outlineLevel="0" collapsed="false">
      <c r="A289" s="5" t="n">
        <v>285</v>
      </c>
      <c r="B289" s="4" t="s">
        <v>12</v>
      </c>
      <c r="C289" s="4" t="s">
        <v>106</v>
      </c>
      <c r="D289" s="4" t="s">
        <v>39</v>
      </c>
      <c r="E289" s="4" t="s">
        <v>40</v>
      </c>
      <c r="F289" s="5" t="s">
        <v>599</v>
      </c>
      <c r="G289" s="4" t="s">
        <v>41</v>
      </c>
      <c r="H289" s="5" t="s">
        <v>490</v>
      </c>
      <c r="I289" s="4" t="s">
        <v>635</v>
      </c>
      <c r="J289" s="4" t="s">
        <v>9</v>
      </c>
      <c r="K289" s="4" t="s">
        <v>636</v>
      </c>
      <c r="L289" s="4" t="s">
        <v>111</v>
      </c>
      <c r="M289" s="5" t="s">
        <v>205</v>
      </c>
    </row>
    <row r="290" customFormat="false" ht="23.85" hidden="false" customHeight="false" outlineLevel="0" collapsed="false">
      <c r="A290" s="5" t="n">
        <v>286</v>
      </c>
      <c r="B290" s="4" t="s">
        <v>12</v>
      </c>
      <c r="C290" s="4" t="s">
        <v>106</v>
      </c>
      <c r="D290" s="4" t="s">
        <v>39</v>
      </c>
      <c r="E290" s="4" t="s">
        <v>40</v>
      </c>
      <c r="F290" s="5" t="s">
        <v>599</v>
      </c>
      <c r="G290" s="4" t="s">
        <v>41</v>
      </c>
      <c r="H290" s="5" t="s">
        <v>493</v>
      </c>
      <c r="I290" s="4" t="s">
        <v>637</v>
      </c>
      <c r="J290" s="4" t="s">
        <v>9</v>
      </c>
      <c r="K290" s="4" t="s">
        <v>638</v>
      </c>
      <c r="L290" s="4" t="s">
        <v>111</v>
      </c>
      <c r="M290" s="5" t="s">
        <v>205</v>
      </c>
    </row>
    <row r="291" customFormat="false" ht="35.05" hidden="false" customHeight="false" outlineLevel="0" collapsed="false">
      <c r="A291" s="5" t="n">
        <v>287</v>
      </c>
      <c r="B291" s="4" t="s">
        <v>12</v>
      </c>
      <c r="C291" s="4" t="s">
        <v>106</v>
      </c>
      <c r="D291" s="4" t="s">
        <v>39</v>
      </c>
      <c r="E291" s="4" t="s">
        <v>40</v>
      </c>
      <c r="F291" s="5" t="s">
        <v>599</v>
      </c>
      <c r="G291" s="4" t="s">
        <v>41</v>
      </c>
      <c r="H291" s="5" t="s">
        <v>596</v>
      </c>
      <c r="I291" s="4" t="s">
        <v>639</v>
      </c>
      <c r="J291" s="4" t="s">
        <v>9</v>
      </c>
      <c r="K291" s="4" t="s">
        <v>640</v>
      </c>
      <c r="L291" s="4" t="s">
        <v>111</v>
      </c>
      <c r="M291" s="5" t="s">
        <v>205</v>
      </c>
    </row>
    <row r="292" customFormat="false" ht="23.85" hidden="false" customHeight="false" outlineLevel="0" collapsed="false">
      <c r="A292" s="5" t="n">
        <v>288</v>
      </c>
      <c r="B292" s="4" t="s">
        <v>12</v>
      </c>
      <c r="C292" s="4" t="s">
        <v>106</v>
      </c>
      <c r="D292" s="4" t="s">
        <v>39</v>
      </c>
      <c r="E292" s="4" t="s">
        <v>40</v>
      </c>
      <c r="F292" s="5" t="s">
        <v>599</v>
      </c>
      <c r="G292" s="4" t="s">
        <v>41</v>
      </c>
      <c r="H292" s="5" t="s">
        <v>641</v>
      </c>
      <c r="I292" s="4" t="s">
        <v>642</v>
      </c>
      <c r="J292" s="4" t="s">
        <v>9</v>
      </c>
      <c r="K292" s="4" t="s">
        <v>598</v>
      </c>
      <c r="L292" s="4" t="s">
        <v>111</v>
      </c>
      <c r="M292" s="5" t="s">
        <v>205</v>
      </c>
    </row>
    <row r="293" customFormat="false" ht="23.85" hidden="false" customHeight="false" outlineLevel="0" collapsed="false">
      <c r="A293" s="5" t="n">
        <v>289</v>
      </c>
      <c r="B293" s="4" t="s">
        <v>12</v>
      </c>
      <c r="C293" s="4" t="s">
        <v>106</v>
      </c>
      <c r="D293" s="4" t="s">
        <v>42</v>
      </c>
      <c r="E293" s="4" t="s">
        <v>43</v>
      </c>
      <c r="F293" s="5" t="s">
        <v>643</v>
      </c>
      <c r="G293" s="4" t="s">
        <v>44</v>
      </c>
      <c r="H293" s="5" t="s">
        <v>108</v>
      </c>
      <c r="I293" s="4" t="s">
        <v>644</v>
      </c>
      <c r="J293" s="4" t="s">
        <v>7</v>
      </c>
      <c r="K293" s="4" t="s">
        <v>577</v>
      </c>
      <c r="L293" s="4" t="s">
        <v>111</v>
      </c>
      <c r="M293" s="5" t="s">
        <v>112</v>
      </c>
    </row>
    <row r="294" customFormat="false" ht="23.85" hidden="false" customHeight="false" outlineLevel="0" collapsed="false">
      <c r="A294" s="5" t="n">
        <v>290</v>
      </c>
      <c r="B294" s="4" t="s">
        <v>12</v>
      </c>
      <c r="C294" s="4" t="s">
        <v>106</v>
      </c>
      <c r="D294" s="4" t="s">
        <v>42</v>
      </c>
      <c r="E294" s="4" t="s">
        <v>43</v>
      </c>
      <c r="F294" s="5" t="s">
        <v>643</v>
      </c>
      <c r="G294" s="4" t="s">
        <v>44</v>
      </c>
      <c r="H294" s="5" t="s">
        <v>113</v>
      </c>
      <c r="I294" s="4" t="s">
        <v>645</v>
      </c>
      <c r="J294" s="4" t="s">
        <v>7</v>
      </c>
      <c r="K294" s="4" t="s">
        <v>577</v>
      </c>
      <c r="L294" s="4" t="s">
        <v>111</v>
      </c>
      <c r="M294" s="5" t="s">
        <v>112</v>
      </c>
    </row>
    <row r="295" customFormat="false" ht="23.85" hidden="false" customHeight="false" outlineLevel="0" collapsed="false">
      <c r="A295" s="5" t="n">
        <v>291</v>
      </c>
      <c r="B295" s="4" t="s">
        <v>12</v>
      </c>
      <c r="C295" s="4" t="s">
        <v>106</v>
      </c>
      <c r="D295" s="4" t="s">
        <v>42</v>
      </c>
      <c r="E295" s="4" t="s">
        <v>43</v>
      </c>
      <c r="F295" s="5" t="s">
        <v>643</v>
      </c>
      <c r="G295" s="4" t="s">
        <v>44</v>
      </c>
      <c r="H295" s="5" t="s">
        <v>115</v>
      </c>
      <c r="I295" s="4" t="s">
        <v>646</v>
      </c>
      <c r="J295" s="4" t="s">
        <v>7</v>
      </c>
      <c r="K295" s="4" t="s">
        <v>603</v>
      </c>
      <c r="L295" s="4" t="s">
        <v>111</v>
      </c>
      <c r="M295" s="5" t="s">
        <v>112</v>
      </c>
    </row>
    <row r="296" customFormat="false" ht="23.85" hidden="false" customHeight="false" outlineLevel="0" collapsed="false">
      <c r="A296" s="5" t="n">
        <v>292</v>
      </c>
      <c r="B296" s="4" t="s">
        <v>12</v>
      </c>
      <c r="C296" s="4" t="s">
        <v>106</v>
      </c>
      <c r="D296" s="4" t="s">
        <v>42</v>
      </c>
      <c r="E296" s="4" t="s">
        <v>43</v>
      </c>
      <c r="F296" s="5" t="s">
        <v>643</v>
      </c>
      <c r="G296" s="4" t="s">
        <v>44</v>
      </c>
      <c r="H296" s="5" t="s">
        <v>118</v>
      </c>
      <c r="I296" s="4" t="s">
        <v>647</v>
      </c>
      <c r="J296" s="4" t="s">
        <v>7</v>
      </c>
      <c r="K296" s="4" t="s">
        <v>603</v>
      </c>
      <c r="L296" s="4" t="s">
        <v>111</v>
      </c>
      <c r="M296" s="5" t="s">
        <v>112</v>
      </c>
    </row>
    <row r="297" customFormat="false" ht="23.85" hidden="false" customHeight="false" outlineLevel="0" collapsed="false">
      <c r="A297" s="5" t="n">
        <v>293</v>
      </c>
      <c r="B297" s="4" t="s">
        <v>12</v>
      </c>
      <c r="C297" s="4" t="s">
        <v>106</v>
      </c>
      <c r="D297" s="4" t="s">
        <v>42</v>
      </c>
      <c r="E297" s="4" t="s">
        <v>43</v>
      </c>
      <c r="F297" s="5" t="s">
        <v>643</v>
      </c>
      <c r="G297" s="4" t="s">
        <v>44</v>
      </c>
      <c r="H297" s="5" t="s">
        <v>120</v>
      </c>
      <c r="I297" s="4" t="s">
        <v>648</v>
      </c>
      <c r="J297" s="4" t="s">
        <v>7</v>
      </c>
      <c r="K297" s="4" t="s">
        <v>543</v>
      </c>
      <c r="L297" s="4" t="s">
        <v>111</v>
      </c>
      <c r="M297" s="5" t="s">
        <v>112</v>
      </c>
    </row>
    <row r="298" customFormat="false" ht="23.85" hidden="false" customHeight="false" outlineLevel="0" collapsed="false">
      <c r="A298" s="5" t="n">
        <v>294</v>
      </c>
      <c r="B298" s="4" t="s">
        <v>12</v>
      </c>
      <c r="C298" s="4" t="s">
        <v>106</v>
      </c>
      <c r="D298" s="4" t="s">
        <v>42</v>
      </c>
      <c r="E298" s="4" t="s">
        <v>43</v>
      </c>
      <c r="F298" s="5" t="s">
        <v>643</v>
      </c>
      <c r="G298" s="4" t="s">
        <v>44</v>
      </c>
      <c r="H298" s="5" t="s">
        <v>122</v>
      </c>
      <c r="I298" s="4" t="s">
        <v>649</v>
      </c>
      <c r="J298" s="4" t="s">
        <v>7</v>
      </c>
      <c r="K298" s="4" t="s">
        <v>543</v>
      </c>
      <c r="L298" s="4" t="s">
        <v>111</v>
      </c>
      <c r="M298" s="5" t="s">
        <v>112</v>
      </c>
    </row>
    <row r="299" customFormat="false" ht="23.85" hidden="false" customHeight="false" outlineLevel="0" collapsed="false">
      <c r="A299" s="5" t="n">
        <v>295</v>
      </c>
      <c r="B299" s="4" t="s">
        <v>12</v>
      </c>
      <c r="C299" s="4" t="s">
        <v>106</v>
      </c>
      <c r="D299" s="4" t="s">
        <v>42</v>
      </c>
      <c r="E299" s="4" t="s">
        <v>43</v>
      </c>
      <c r="F299" s="5" t="s">
        <v>643</v>
      </c>
      <c r="G299" s="4" t="s">
        <v>44</v>
      </c>
      <c r="H299" s="5" t="s">
        <v>124</v>
      </c>
      <c r="I299" s="4" t="s">
        <v>650</v>
      </c>
      <c r="J299" s="4" t="s">
        <v>7</v>
      </c>
      <c r="K299" s="4" t="s">
        <v>543</v>
      </c>
      <c r="L299" s="4" t="s">
        <v>111</v>
      </c>
      <c r="M299" s="5" t="s">
        <v>112</v>
      </c>
    </row>
    <row r="300" customFormat="false" ht="23.85" hidden="false" customHeight="false" outlineLevel="0" collapsed="false">
      <c r="A300" s="5" t="n">
        <v>296</v>
      </c>
      <c r="B300" s="4" t="s">
        <v>12</v>
      </c>
      <c r="C300" s="4" t="s">
        <v>106</v>
      </c>
      <c r="D300" s="4" t="s">
        <v>42</v>
      </c>
      <c r="E300" s="4" t="s">
        <v>43</v>
      </c>
      <c r="F300" s="5" t="s">
        <v>643</v>
      </c>
      <c r="G300" s="4" t="s">
        <v>44</v>
      </c>
      <c r="H300" s="5" t="s">
        <v>126</v>
      </c>
      <c r="I300" s="4" t="s">
        <v>651</v>
      </c>
      <c r="J300" s="4" t="s">
        <v>7</v>
      </c>
      <c r="K300" s="4" t="s">
        <v>548</v>
      </c>
      <c r="L300" s="4" t="s">
        <v>111</v>
      </c>
      <c r="M300" s="5" t="s">
        <v>112</v>
      </c>
    </row>
    <row r="301" customFormat="false" ht="23.85" hidden="false" customHeight="false" outlineLevel="0" collapsed="false">
      <c r="A301" s="5" t="n">
        <v>297</v>
      </c>
      <c r="B301" s="4" t="s">
        <v>12</v>
      </c>
      <c r="C301" s="4" t="s">
        <v>106</v>
      </c>
      <c r="D301" s="4" t="s">
        <v>42</v>
      </c>
      <c r="E301" s="4" t="s">
        <v>43</v>
      </c>
      <c r="F301" s="5" t="s">
        <v>643</v>
      </c>
      <c r="G301" s="4" t="s">
        <v>44</v>
      </c>
      <c r="H301" s="5" t="s">
        <v>129</v>
      </c>
      <c r="I301" s="4" t="s">
        <v>652</v>
      </c>
      <c r="J301" s="4" t="s">
        <v>7</v>
      </c>
      <c r="K301" s="4" t="s">
        <v>548</v>
      </c>
      <c r="L301" s="4" t="s">
        <v>111</v>
      </c>
      <c r="M301" s="5" t="s">
        <v>112</v>
      </c>
    </row>
    <row r="302" customFormat="false" ht="23.85" hidden="false" customHeight="false" outlineLevel="0" collapsed="false">
      <c r="A302" s="5" t="n">
        <v>298</v>
      </c>
      <c r="B302" s="4" t="s">
        <v>12</v>
      </c>
      <c r="C302" s="4" t="s">
        <v>106</v>
      </c>
      <c r="D302" s="4" t="s">
        <v>42</v>
      </c>
      <c r="E302" s="4" t="s">
        <v>43</v>
      </c>
      <c r="F302" s="5" t="s">
        <v>643</v>
      </c>
      <c r="G302" s="4" t="s">
        <v>44</v>
      </c>
      <c r="H302" s="5" t="s">
        <v>131</v>
      </c>
      <c r="I302" s="4" t="s">
        <v>653</v>
      </c>
      <c r="J302" s="4" t="s">
        <v>7</v>
      </c>
      <c r="K302" s="4" t="s">
        <v>548</v>
      </c>
      <c r="L302" s="4" t="s">
        <v>111</v>
      </c>
      <c r="M302" s="5" t="s">
        <v>112</v>
      </c>
    </row>
    <row r="303" customFormat="false" ht="23.85" hidden="false" customHeight="false" outlineLevel="0" collapsed="false">
      <c r="A303" s="5" t="n">
        <v>299</v>
      </c>
      <c r="B303" s="4" t="s">
        <v>12</v>
      </c>
      <c r="C303" s="4" t="s">
        <v>106</v>
      </c>
      <c r="D303" s="4" t="s">
        <v>42</v>
      </c>
      <c r="E303" s="4" t="s">
        <v>43</v>
      </c>
      <c r="F303" s="5" t="s">
        <v>643</v>
      </c>
      <c r="G303" s="4" t="s">
        <v>44</v>
      </c>
      <c r="H303" s="5" t="s">
        <v>134</v>
      </c>
      <c r="I303" s="4" t="s">
        <v>654</v>
      </c>
      <c r="J303" s="4" t="s">
        <v>7</v>
      </c>
      <c r="K303" s="4" t="s">
        <v>554</v>
      </c>
      <c r="L303" s="4" t="s">
        <v>111</v>
      </c>
      <c r="M303" s="5" t="s">
        <v>112</v>
      </c>
    </row>
    <row r="304" customFormat="false" ht="23.85" hidden="false" customHeight="false" outlineLevel="0" collapsed="false">
      <c r="A304" s="5" t="n">
        <v>300</v>
      </c>
      <c r="B304" s="4" t="s">
        <v>12</v>
      </c>
      <c r="C304" s="4" t="s">
        <v>106</v>
      </c>
      <c r="D304" s="4" t="s">
        <v>42</v>
      </c>
      <c r="E304" s="4" t="s">
        <v>43</v>
      </c>
      <c r="F304" s="5" t="s">
        <v>643</v>
      </c>
      <c r="G304" s="4" t="s">
        <v>44</v>
      </c>
      <c r="H304" s="5" t="s">
        <v>136</v>
      </c>
      <c r="I304" s="4" t="s">
        <v>655</v>
      </c>
      <c r="J304" s="4" t="s">
        <v>7</v>
      </c>
      <c r="K304" s="4" t="s">
        <v>554</v>
      </c>
      <c r="L304" s="4" t="s">
        <v>111</v>
      </c>
      <c r="M304" s="5" t="s">
        <v>112</v>
      </c>
    </row>
    <row r="305" customFormat="false" ht="23.85" hidden="false" customHeight="false" outlineLevel="0" collapsed="false">
      <c r="A305" s="5" t="n">
        <v>301</v>
      </c>
      <c r="B305" s="4" t="s">
        <v>12</v>
      </c>
      <c r="C305" s="4" t="s">
        <v>106</v>
      </c>
      <c r="D305" s="4" t="s">
        <v>42</v>
      </c>
      <c r="E305" s="4" t="s">
        <v>43</v>
      </c>
      <c r="F305" s="5" t="s">
        <v>643</v>
      </c>
      <c r="G305" s="4" t="s">
        <v>44</v>
      </c>
      <c r="H305" s="5" t="s">
        <v>139</v>
      </c>
      <c r="I305" s="4" t="s">
        <v>656</v>
      </c>
      <c r="J305" s="4" t="s">
        <v>7</v>
      </c>
      <c r="K305" s="4" t="s">
        <v>657</v>
      </c>
      <c r="L305" s="4" t="s">
        <v>111</v>
      </c>
      <c r="M305" s="5" t="s">
        <v>112</v>
      </c>
    </row>
    <row r="306" customFormat="false" ht="46.25" hidden="false" customHeight="false" outlineLevel="0" collapsed="false">
      <c r="A306" s="5" t="n">
        <v>302</v>
      </c>
      <c r="B306" s="4" t="s">
        <v>12</v>
      </c>
      <c r="C306" s="4" t="s">
        <v>106</v>
      </c>
      <c r="D306" s="4" t="s">
        <v>42</v>
      </c>
      <c r="E306" s="4" t="s">
        <v>43</v>
      </c>
      <c r="F306" s="5" t="s">
        <v>643</v>
      </c>
      <c r="G306" s="4" t="s">
        <v>44</v>
      </c>
      <c r="H306" s="5" t="s">
        <v>202</v>
      </c>
      <c r="I306" s="4" t="s">
        <v>658</v>
      </c>
      <c r="J306" s="4" t="s">
        <v>9</v>
      </c>
      <c r="K306" s="4" t="s">
        <v>659</v>
      </c>
      <c r="L306" s="4" t="s">
        <v>111</v>
      </c>
      <c r="M306" s="5" t="s">
        <v>205</v>
      </c>
    </row>
    <row r="307" customFormat="false" ht="35.05" hidden="false" customHeight="false" outlineLevel="0" collapsed="false">
      <c r="A307" s="5" t="n">
        <v>303</v>
      </c>
      <c r="B307" s="4" t="s">
        <v>12</v>
      </c>
      <c r="C307" s="4" t="s">
        <v>106</v>
      </c>
      <c r="D307" s="4" t="s">
        <v>42</v>
      </c>
      <c r="E307" s="4" t="s">
        <v>43</v>
      </c>
      <c r="F307" s="5" t="s">
        <v>643</v>
      </c>
      <c r="G307" s="4" t="s">
        <v>44</v>
      </c>
      <c r="H307" s="5" t="s">
        <v>206</v>
      </c>
      <c r="I307" s="4" t="s">
        <v>660</v>
      </c>
      <c r="J307" s="4" t="s">
        <v>9</v>
      </c>
      <c r="K307" s="4" t="s">
        <v>661</v>
      </c>
      <c r="L307" s="4" t="s">
        <v>111</v>
      </c>
      <c r="M307" s="5" t="s">
        <v>205</v>
      </c>
    </row>
    <row r="308" customFormat="false" ht="35.05" hidden="false" customHeight="false" outlineLevel="0" collapsed="false">
      <c r="A308" s="5" t="n">
        <v>304</v>
      </c>
      <c r="B308" s="4" t="s">
        <v>12</v>
      </c>
      <c r="C308" s="4" t="s">
        <v>106</v>
      </c>
      <c r="D308" s="4" t="s">
        <v>42</v>
      </c>
      <c r="E308" s="4" t="s">
        <v>43</v>
      </c>
      <c r="F308" s="5" t="s">
        <v>643</v>
      </c>
      <c r="G308" s="4" t="s">
        <v>44</v>
      </c>
      <c r="H308" s="5" t="s">
        <v>209</v>
      </c>
      <c r="I308" s="4" t="s">
        <v>662</v>
      </c>
      <c r="J308" s="4" t="s">
        <v>9</v>
      </c>
      <c r="K308" s="4" t="s">
        <v>663</v>
      </c>
      <c r="L308" s="4" t="s">
        <v>111</v>
      </c>
      <c r="M308" s="5" t="s">
        <v>205</v>
      </c>
    </row>
    <row r="309" customFormat="false" ht="23.85" hidden="false" customHeight="false" outlineLevel="0" collapsed="false">
      <c r="A309" s="5" t="n">
        <v>305</v>
      </c>
      <c r="B309" s="4" t="s">
        <v>12</v>
      </c>
      <c r="C309" s="4" t="s">
        <v>106</v>
      </c>
      <c r="D309" s="4" t="s">
        <v>42</v>
      </c>
      <c r="E309" s="4" t="s">
        <v>43</v>
      </c>
      <c r="F309" s="5" t="s">
        <v>643</v>
      </c>
      <c r="G309" s="4" t="s">
        <v>44</v>
      </c>
      <c r="H309" s="5" t="s">
        <v>212</v>
      </c>
      <c r="I309" s="4" t="s">
        <v>664</v>
      </c>
      <c r="J309" s="4" t="s">
        <v>9</v>
      </c>
      <c r="K309" s="4" t="s">
        <v>665</v>
      </c>
      <c r="L309" s="4" t="s">
        <v>111</v>
      </c>
      <c r="M309" s="5" t="s">
        <v>205</v>
      </c>
    </row>
    <row r="310" customFormat="false" ht="23.85" hidden="false" customHeight="false" outlineLevel="0" collapsed="false">
      <c r="A310" s="5" t="n">
        <v>306</v>
      </c>
      <c r="B310" s="4" t="s">
        <v>12</v>
      </c>
      <c r="C310" s="4" t="s">
        <v>106</v>
      </c>
      <c r="D310" s="4" t="s">
        <v>42</v>
      </c>
      <c r="E310" s="4" t="s">
        <v>43</v>
      </c>
      <c r="F310" s="5" t="s">
        <v>643</v>
      </c>
      <c r="G310" s="4" t="s">
        <v>44</v>
      </c>
      <c r="H310" s="5" t="s">
        <v>215</v>
      </c>
      <c r="I310" s="4" t="s">
        <v>666</v>
      </c>
      <c r="J310" s="4" t="s">
        <v>9</v>
      </c>
      <c r="K310" s="4" t="s">
        <v>667</v>
      </c>
      <c r="L310" s="4" t="s">
        <v>111</v>
      </c>
      <c r="M310" s="5" t="s">
        <v>205</v>
      </c>
    </row>
    <row r="311" customFormat="false" ht="35.05" hidden="false" customHeight="false" outlineLevel="0" collapsed="false">
      <c r="A311" s="5" t="n">
        <v>307</v>
      </c>
      <c r="B311" s="4" t="s">
        <v>12</v>
      </c>
      <c r="C311" s="4" t="s">
        <v>106</v>
      </c>
      <c r="D311" s="4" t="s">
        <v>42</v>
      </c>
      <c r="E311" s="4" t="s">
        <v>43</v>
      </c>
      <c r="F311" s="5" t="s">
        <v>643</v>
      </c>
      <c r="G311" s="4" t="s">
        <v>44</v>
      </c>
      <c r="H311" s="5" t="s">
        <v>218</v>
      </c>
      <c r="I311" s="4" t="s">
        <v>668</v>
      </c>
      <c r="J311" s="4" t="s">
        <v>9</v>
      </c>
      <c r="K311" s="4" t="s">
        <v>669</v>
      </c>
      <c r="L311" s="4" t="s">
        <v>111</v>
      </c>
      <c r="M311" s="5" t="s">
        <v>205</v>
      </c>
    </row>
    <row r="312" customFormat="false" ht="23.85" hidden="false" customHeight="false" outlineLevel="0" collapsed="false">
      <c r="A312" s="5" t="n">
        <v>308</v>
      </c>
      <c r="B312" s="4" t="s">
        <v>12</v>
      </c>
      <c r="C312" s="4" t="s">
        <v>106</v>
      </c>
      <c r="D312" s="4" t="s">
        <v>42</v>
      </c>
      <c r="E312" s="4" t="s">
        <v>43</v>
      </c>
      <c r="F312" s="5" t="s">
        <v>643</v>
      </c>
      <c r="G312" s="4" t="s">
        <v>44</v>
      </c>
      <c r="H312" s="5" t="s">
        <v>221</v>
      </c>
      <c r="I312" s="4" t="s">
        <v>670</v>
      </c>
      <c r="J312" s="4" t="s">
        <v>9</v>
      </c>
      <c r="K312" s="4" t="s">
        <v>671</v>
      </c>
      <c r="L312" s="4" t="s">
        <v>111</v>
      </c>
      <c r="M312" s="5" t="s">
        <v>205</v>
      </c>
    </row>
    <row r="313" customFormat="false" ht="23.85" hidden="false" customHeight="false" outlineLevel="0" collapsed="false">
      <c r="A313" s="5" t="n">
        <v>309</v>
      </c>
      <c r="B313" s="4" t="s">
        <v>12</v>
      </c>
      <c r="C313" s="4" t="s">
        <v>106</v>
      </c>
      <c r="D313" s="4" t="s">
        <v>42</v>
      </c>
      <c r="E313" s="4" t="s">
        <v>43</v>
      </c>
      <c r="F313" s="5" t="s">
        <v>643</v>
      </c>
      <c r="G313" s="4" t="s">
        <v>44</v>
      </c>
      <c r="H313" s="5" t="s">
        <v>490</v>
      </c>
      <c r="I313" s="4" t="s">
        <v>672</v>
      </c>
      <c r="J313" s="4" t="s">
        <v>9</v>
      </c>
      <c r="K313" s="4" t="s">
        <v>673</v>
      </c>
      <c r="L313" s="4" t="s">
        <v>111</v>
      </c>
      <c r="M313" s="5" t="s">
        <v>205</v>
      </c>
    </row>
    <row r="314" customFormat="false" ht="23.85" hidden="false" customHeight="false" outlineLevel="0" collapsed="false">
      <c r="A314" s="5" t="n">
        <v>310</v>
      </c>
      <c r="B314" s="4" t="s">
        <v>12</v>
      </c>
      <c r="C314" s="4" t="s">
        <v>106</v>
      </c>
      <c r="D314" s="4" t="s">
        <v>42</v>
      </c>
      <c r="E314" s="4" t="s">
        <v>43</v>
      </c>
      <c r="F314" s="5" t="s">
        <v>643</v>
      </c>
      <c r="G314" s="4" t="s">
        <v>44</v>
      </c>
      <c r="H314" s="5" t="s">
        <v>493</v>
      </c>
      <c r="I314" s="4" t="s">
        <v>674</v>
      </c>
      <c r="J314" s="4" t="s">
        <v>9</v>
      </c>
      <c r="K314" s="4" t="s">
        <v>675</v>
      </c>
      <c r="L314" s="4" t="s">
        <v>111</v>
      </c>
      <c r="M314" s="5" t="s">
        <v>205</v>
      </c>
    </row>
    <row r="315" customFormat="false" ht="23.85" hidden="false" customHeight="false" outlineLevel="0" collapsed="false">
      <c r="A315" s="5" t="n">
        <v>311</v>
      </c>
      <c r="B315" s="4" t="s">
        <v>12</v>
      </c>
      <c r="C315" s="4" t="s">
        <v>106</v>
      </c>
      <c r="D315" s="4" t="s">
        <v>42</v>
      </c>
      <c r="E315" s="4" t="s">
        <v>43</v>
      </c>
      <c r="F315" s="5" t="s">
        <v>643</v>
      </c>
      <c r="G315" s="4" t="s">
        <v>44</v>
      </c>
      <c r="H315" s="5" t="s">
        <v>596</v>
      </c>
      <c r="I315" s="4" t="s">
        <v>676</v>
      </c>
      <c r="J315" s="4" t="s">
        <v>9</v>
      </c>
      <c r="K315" s="4" t="s">
        <v>677</v>
      </c>
      <c r="L315" s="4" t="s">
        <v>111</v>
      </c>
      <c r="M315" s="5" t="s">
        <v>205</v>
      </c>
    </row>
    <row r="316" customFormat="false" ht="35.05" hidden="false" customHeight="false" outlineLevel="0" collapsed="false">
      <c r="A316" s="5" t="n">
        <v>312</v>
      </c>
      <c r="B316" s="4" t="s">
        <v>12</v>
      </c>
      <c r="C316" s="4" t="s">
        <v>106</v>
      </c>
      <c r="D316" s="4" t="s">
        <v>42</v>
      </c>
      <c r="E316" s="4" t="s">
        <v>43</v>
      </c>
      <c r="F316" s="5" t="s">
        <v>643</v>
      </c>
      <c r="G316" s="4" t="s">
        <v>44</v>
      </c>
      <c r="H316" s="5" t="s">
        <v>641</v>
      </c>
      <c r="I316" s="4" t="s">
        <v>678</v>
      </c>
      <c r="J316" s="4" t="s">
        <v>9</v>
      </c>
      <c r="K316" s="4" t="s">
        <v>679</v>
      </c>
      <c r="L316" s="4" t="s">
        <v>111</v>
      </c>
      <c r="M316" s="5" t="s">
        <v>205</v>
      </c>
    </row>
    <row r="317" customFormat="false" ht="35.05" hidden="false" customHeight="false" outlineLevel="0" collapsed="false">
      <c r="A317" s="5" t="n">
        <v>313</v>
      </c>
      <c r="B317" s="4" t="s">
        <v>12</v>
      </c>
      <c r="C317" s="4" t="s">
        <v>106</v>
      </c>
      <c r="D317" s="4" t="s">
        <v>42</v>
      </c>
      <c r="E317" s="4" t="s">
        <v>43</v>
      </c>
      <c r="F317" s="5" t="s">
        <v>643</v>
      </c>
      <c r="G317" s="4" t="s">
        <v>44</v>
      </c>
      <c r="H317" s="5" t="s">
        <v>680</v>
      </c>
      <c r="I317" s="4" t="s">
        <v>681</v>
      </c>
      <c r="J317" s="4" t="s">
        <v>9</v>
      </c>
      <c r="K317" s="4" t="s">
        <v>682</v>
      </c>
      <c r="L317" s="4" t="s">
        <v>111</v>
      </c>
      <c r="M317" s="5" t="s">
        <v>205</v>
      </c>
    </row>
    <row r="318" customFormat="false" ht="23.85" hidden="false" customHeight="false" outlineLevel="0" collapsed="false">
      <c r="A318" s="5" t="n">
        <v>314</v>
      </c>
      <c r="B318" s="4" t="s">
        <v>12</v>
      </c>
      <c r="C318" s="4" t="s">
        <v>106</v>
      </c>
      <c r="D318" s="4" t="s">
        <v>42</v>
      </c>
      <c r="E318" s="4" t="s">
        <v>43</v>
      </c>
      <c r="F318" s="5" t="s">
        <v>643</v>
      </c>
      <c r="G318" s="4" t="s">
        <v>44</v>
      </c>
      <c r="H318" s="5" t="s">
        <v>683</v>
      </c>
      <c r="I318" s="4" t="s">
        <v>684</v>
      </c>
      <c r="J318" s="4" t="s">
        <v>9</v>
      </c>
      <c r="K318" s="4" t="s">
        <v>598</v>
      </c>
      <c r="L318" s="4" t="s">
        <v>111</v>
      </c>
      <c r="M318" s="5" t="s">
        <v>205</v>
      </c>
    </row>
    <row r="319" customFormat="false" ht="23.85" hidden="false" customHeight="false" outlineLevel="0" collapsed="false">
      <c r="A319" s="5" t="n">
        <v>315</v>
      </c>
      <c r="B319" s="4" t="s">
        <v>12</v>
      </c>
      <c r="C319" s="4" t="s">
        <v>106</v>
      </c>
      <c r="D319" s="4" t="s">
        <v>45</v>
      </c>
      <c r="E319" s="4" t="s">
        <v>46</v>
      </c>
      <c r="F319" s="5" t="s">
        <v>685</v>
      </c>
      <c r="G319" s="4" t="s">
        <v>47</v>
      </c>
      <c r="H319" s="5" t="s">
        <v>108</v>
      </c>
      <c r="I319" s="4" t="s">
        <v>686</v>
      </c>
      <c r="J319" s="4" t="s">
        <v>7</v>
      </c>
      <c r="K319" s="4" t="s">
        <v>577</v>
      </c>
      <c r="L319" s="4" t="s">
        <v>111</v>
      </c>
      <c r="M319" s="5" t="s">
        <v>112</v>
      </c>
    </row>
    <row r="320" customFormat="false" ht="23.85" hidden="false" customHeight="false" outlineLevel="0" collapsed="false">
      <c r="A320" s="5" t="n">
        <v>316</v>
      </c>
      <c r="B320" s="4" t="s">
        <v>12</v>
      </c>
      <c r="C320" s="4" t="s">
        <v>106</v>
      </c>
      <c r="D320" s="4" t="s">
        <v>45</v>
      </c>
      <c r="E320" s="4" t="s">
        <v>46</v>
      </c>
      <c r="F320" s="5" t="s">
        <v>685</v>
      </c>
      <c r="G320" s="4" t="s">
        <v>47</v>
      </c>
      <c r="H320" s="5" t="s">
        <v>113</v>
      </c>
      <c r="I320" s="4" t="s">
        <v>687</v>
      </c>
      <c r="J320" s="4" t="s">
        <v>7</v>
      </c>
      <c r="K320" s="4" t="s">
        <v>577</v>
      </c>
      <c r="L320" s="4" t="s">
        <v>111</v>
      </c>
      <c r="M320" s="5" t="s">
        <v>112</v>
      </c>
    </row>
    <row r="321" customFormat="false" ht="23.85" hidden="false" customHeight="false" outlineLevel="0" collapsed="false">
      <c r="A321" s="5" t="n">
        <v>317</v>
      </c>
      <c r="B321" s="4" t="s">
        <v>12</v>
      </c>
      <c r="C321" s="4" t="s">
        <v>106</v>
      </c>
      <c r="D321" s="4" t="s">
        <v>45</v>
      </c>
      <c r="E321" s="4" t="s">
        <v>46</v>
      </c>
      <c r="F321" s="5" t="s">
        <v>685</v>
      </c>
      <c r="G321" s="4" t="s">
        <v>47</v>
      </c>
      <c r="H321" s="5" t="s">
        <v>115</v>
      </c>
      <c r="I321" s="4" t="s">
        <v>688</v>
      </c>
      <c r="J321" s="4" t="s">
        <v>7</v>
      </c>
      <c r="K321" s="4" t="s">
        <v>577</v>
      </c>
      <c r="L321" s="4" t="s">
        <v>111</v>
      </c>
      <c r="M321" s="5" t="s">
        <v>112</v>
      </c>
    </row>
    <row r="322" customFormat="false" ht="23.85" hidden="false" customHeight="false" outlineLevel="0" collapsed="false">
      <c r="A322" s="5" t="n">
        <v>318</v>
      </c>
      <c r="B322" s="4" t="s">
        <v>12</v>
      </c>
      <c r="C322" s="4" t="s">
        <v>106</v>
      </c>
      <c r="D322" s="4" t="s">
        <v>45</v>
      </c>
      <c r="E322" s="4" t="s">
        <v>46</v>
      </c>
      <c r="F322" s="5" t="s">
        <v>685</v>
      </c>
      <c r="G322" s="4" t="s">
        <v>47</v>
      </c>
      <c r="H322" s="5" t="s">
        <v>118</v>
      </c>
      <c r="I322" s="4" t="s">
        <v>689</v>
      </c>
      <c r="J322" s="4" t="s">
        <v>7</v>
      </c>
      <c r="K322" s="4" t="s">
        <v>603</v>
      </c>
      <c r="L322" s="4" t="s">
        <v>111</v>
      </c>
      <c r="M322" s="5" t="s">
        <v>112</v>
      </c>
    </row>
    <row r="323" customFormat="false" ht="23.85" hidden="false" customHeight="false" outlineLevel="0" collapsed="false">
      <c r="A323" s="5" t="n">
        <v>319</v>
      </c>
      <c r="B323" s="4" t="s">
        <v>12</v>
      </c>
      <c r="C323" s="4" t="s">
        <v>106</v>
      </c>
      <c r="D323" s="4" t="s">
        <v>45</v>
      </c>
      <c r="E323" s="4" t="s">
        <v>46</v>
      </c>
      <c r="F323" s="5" t="s">
        <v>685</v>
      </c>
      <c r="G323" s="4" t="s">
        <v>47</v>
      </c>
      <c r="H323" s="5" t="s">
        <v>120</v>
      </c>
      <c r="I323" s="4" t="s">
        <v>690</v>
      </c>
      <c r="J323" s="4" t="s">
        <v>7</v>
      </c>
      <c r="K323" s="4" t="s">
        <v>577</v>
      </c>
      <c r="L323" s="4" t="s">
        <v>111</v>
      </c>
      <c r="M323" s="5" t="s">
        <v>112</v>
      </c>
    </row>
    <row r="324" customFormat="false" ht="23.85" hidden="false" customHeight="false" outlineLevel="0" collapsed="false">
      <c r="A324" s="5" t="n">
        <v>320</v>
      </c>
      <c r="B324" s="4" t="s">
        <v>12</v>
      </c>
      <c r="C324" s="4" t="s">
        <v>106</v>
      </c>
      <c r="D324" s="4" t="s">
        <v>45</v>
      </c>
      <c r="E324" s="4" t="s">
        <v>46</v>
      </c>
      <c r="F324" s="5" t="s">
        <v>685</v>
      </c>
      <c r="G324" s="4" t="s">
        <v>47</v>
      </c>
      <c r="H324" s="5" t="s">
        <v>122</v>
      </c>
      <c r="I324" s="4" t="s">
        <v>691</v>
      </c>
      <c r="J324" s="4" t="s">
        <v>7</v>
      </c>
      <c r="K324" s="4" t="s">
        <v>543</v>
      </c>
      <c r="L324" s="4" t="s">
        <v>111</v>
      </c>
      <c r="M324" s="5" t="s">
        <v>112</v>
      </c>
    </row>
    <row r="325" customFormat="false" ht="23.85" hidden="false" customHeight="false" outlineLevel="0" collapsed="false">
      <c r="A325" s="5" t="n">
        <v>321</v>
      </c>
      <c r="B325" s="4" t="s">
        <v>12</v>
      </c>
      <c r="C325" s="4" t="s">
        <v>106</v>
      </c>
      <c r="D325" s="4" t="s">
        <v>45</v>
      </c>
      <c r="E325" s="4" t="s">
        <v>46</v>
      </c>
      <c r="F325" s="5" t="s">
        <v>685</v>
      </c>
      <c r="G325" s="4" t="s">
        <v>47</v>
      </c>
      <c r="H325" s="5" t="s">
        <v>124</v>
      </c>
      <c r="I325" s="4" t="s">
        <v>692</v>
      </c>
      <c r="J325" s="4" t="s">
        <v>7</v>
      </c>
      <c r="K325" s="4" t="s">
        <v>543</v>
      </c>
      <c r="L325" s="4" t="s">
        <v>111</v>
      </c>
      <c r="M325" s="5" t="s">
        <v>112</v>
      </c>
    </row>
    <row r="326" customFormat="false" ht="23.85" hidden="false" customHeight="false" outlineLevel="0" collapsed="false">
      <c r="A326" s="5" t="n">
        <v>322</v>
      </c>
      <c r="B326" s="4" t="s">
        <v>12</v>
      </c>
      <c r="C326" s="4" t="s">
        <v>106</v>
      </c>
      <c r="D326" s="4" t="s">
        <v>45</v>
      </c>
      <c r="E326" s="4" t="s">
        <v>46</v>
      </c>
      <c r="F326" s="5" t="s">
        <v>685</v>
      </c>
      <c r="G326" s="4" t="s">
        <v>47</v>
      </c>
      <c r="H326" s="5" t="s">
        <v>126</v>
      </c>
      <c r="I326" s="4" t="s">
        <v>693</v>
      </c>
      <c r="J326" s="4" t="s">
        <v>7</v>
      </c>
      <c r="K326" s="4" t="s">
        <v>543</v>
      </c>
      <c r="L326" s="4" t="s">
        <v>111</v>
      </c>
      <c r="M326" s="5" t="s">
        <v>112</v>
      </c>
    </row>
    <row r="327" customFormat="false" ht="23.85" hidden="false" customHeight="false" outlineLevel="0" collapsed="false">
      <c r="A327" s="5" t="n">
        <v>323</v>
      </c>
      <c r="B327" s="4" t="s">
        <v>12</v>
      </c>
      <c r="C327" s="4" t="s">
        <v>106</v>
      </c>
      <c r="D327" s="4" t="s">
        <v>45</v>
      </c>
      <c r="E327" s="4" t="s">
        <v>46</v>
      </c>
      <c r="F327" s="5" t="s">
        <v>685</v>
      </c>
      <c r="G327" s="4" t="s">
        <v>47</v>
      </c>
      <c r="H327" s="5" t="s">
        <v>129</v>
      </c>
      <c r="I327" s="4" t="s">
        <v>694</v>
      </c>
      <c r="J327" s="4" t="s">
        <v>7</v>
      </c>
      <c r="K327" s="4" t="s">
        <v>546</v>
      </c>
      <c r="L327" s="4" t="s">
        <v>111</v>
      </c>
      <c r="M327" s="5" t="s">
        <v>112</v>
      </c>
    </row>
    <row r="328" customFormat="false" ht="23.85" hidden="false" customHeight="false" outlineLevel="0" collapsed="false">
      <c r="A328" s="5" t="n">
        <v>324</v>
      </c>
      <c r="B328" s="4" t="s">
        <v>12</v>
      </c>
      <c r="C328" s="4" t="s">
        <v>106</v>
      </c>
      <c r="D328" s="4" t="s">
        <v>45</v>
      </c>
      <c r="E328" s="4" t="s">
        <v>46</v>
      </c>
      <c r="F328" s="5" t="s">
        <v>685</v>
      </c>
      <c r="G328" s="4" t="s">
        <v>47</v>
      </c>
      <c r="H328" s="5" t="s">
        <v>131</v>
      </c>
      <c r="I328" s="4" t="s">
        <v>695</v>
      </c>
      <c r="J328" s="4" t="s">
        <v>7</v>
      </c>
      <c r="K328" s="4" t="s">
        <v>548</v>
      </c>
      <c r="L328" s="4" t="s">
        <v>111</v>
      </c>
      <c r="M328" s="5" t="s">
        <v>112</v>
      </c>
    </row>
    <row r="329" customFormat="false" ht="23.85" hidden="false" customHeight="false" outlineLevel="0" collapsed="false">
      <c r="A329" s="5" t="n">
        <v>325</v>
      </c>
      <c r="B329" s="4" t="s">
        <v>12</v>
      </c>
      <c r="C329" s="4" t="s">
        <v>106</v>
      </c>
      <c r="D329" s="4" t="s">
        <v>45</v>
      </c>
      <c r="E329" s="4" t="s">
        <v>46</v>
      </c>
      <c r="F329" s="5" t="s">
        <v>685</v>
      </c>
      <c r="G329" s="4" t="s">
        <v>47</v>
      </c>
      <c r="H329" s="5" t="s">
        <v>134</v>
      </c>
      <c r="I329" s="4" t="s">
        <v>696</v>
      </c>
      <c r="J329" s="4" t="s">
        <v>7</v>
      </c>
      <c r="K329" s="4" t="s">
        <v>548</v>
      </c>
      <c r="L329" s="4" t="s">
        <v>111</v>
      </c>
      <c r="M329" s="5" t="s">
        <v>112</v>
      </c>
    </row>
    <row r="330" customFormat="false" ht="23.85" hidden="false" customHeight="false" outlineLevel="0" collapsed="false">
      <c r="A330" s="5" t="n">
        <v>326</v>
      </c>
      <c r="B330" s="4" t="s">
        <v>12</v>
      </c>
      <c r="C330" s="4" t="s">
        <v>106</v>
      </c>
      <c r="D330" s="4" t="s">
        <v>45</v>
      </c>
      <c r="E330" s="4" t="s">
        <v>46</v>
      </c>
      <c r="F330" s="5" t="s">
        <v>685</v>
      </c>
      <c r="G330" s="4" t="s">
        <v>47</v>
      </c>
      <c r="H330" s="5" t="s">
        <v>136</v>
      </c>
      <c r="I330" s="4" t="s">
        <v>697</v>
      </c>
      <c r="J330" s="4" t="s">
        <v>7</v>
      </c>
      <c r="K330" s="4" t="s">
        <v>552</v>
      </c>
      <c r="L330" s="4" t="s">
        <v>111</v>
      </c>
      <c r="M330" s="5" t="s">
        <v>112</v>
      </c>
    </row>
    <row r="331" customFormat="false" ht="23.85" hidden="false" customHeight="false" outlineLevel="0" collapsed="false">
      <c r="A331" s="5" t="n">
        <v>327</v>
      </c>
      <c r="B331" s="4" t="s">
        <v>12</v>
      </c>
      <c r="C331" s="4" t="s">
        <v>106</v>
      </c>
      <c r="D331" s="4" t="s">
        <v>45</v>
      </c>
      <c r="E331" s="4" t="s">
        <v>46</v>
      </c>
      <c r="F331" s="5" t="s">
        <v>685</v>
      </c>
      <c r="G331" s="4" t="s">
        <v>47</v>
      </c>
      <c r="H331" s="5" t="s">
        <v>139</v>
      </c>
      <c r="I331" s="4" t="s">
        <v>698</v>
      </c>
      <c r="J331" s="4" t="s">
        <v>7</v>
      </c>
      <c r="K331" s="4" t="s">
        <v>554</v>
      </c>
      <c r="L331" s="4" t="s">
        <v>111</v>
      </c>
      <c r="M331" s="5" t="s">
        <v>112</v>
      </c>
    </row>
    <row r="332" customFormat="false" ht="23.85" hidden="false" customHeight="false" outlineLevel="0" collapsed="false">
      <c r="A332" s="5" t="n">
        <v>328</v>
      </c>
      <c r="B332" s="4" t="s">
        <v>12</v>
      </c>
      <c r="C332" s="4" t="s">
        <v>106</v>
      </c>
      <c r="D332" s="4" t="s">
        <v>45</v>
      </c>
      <c r="E332" s="4" t="s">
        <v>46</v>
      </c>
      <c r="F332" s="5" t="s">
        <v>685</v>
      </c>
      <c r="G332" s="4" t="s">
        <v>47</v>
      </c>
      <c r="H332" s="5" t="s">
        <v>142</v>
      </c>
      <c r="I332" s="4" t="s">
        <v>699</v>
      </c>
      <c r="J332" s="4" t="s">
        <v>7</v>
      </c>
      <c r="K332" s="4" t="s">
        <v>554</v>
      </c>
      <c r="L332" s="4" t="s">
        <v>111</v>
      </c>
      <c r="M332" s="5" t="s">
        <v>112</v>
      </c>
    </row>
    <row r="333" customFormat="false" ht="23.85" hidden="false" customHeight="false" outlineLevel="0" collapsed="false">
      <c r="A333" s="5" t="n">
        <v>329</v>
      </c>
      <c r="B333" s="4" t="s">
        <v>12</v>
      </c>
      <c r="C333" s="4" t="s">
        <v>106</v>
      </c>
      <c r="D333" s="4" t="s">
        <v>45</v>
      </c>
      <c r="E333" s="4" t="s">
        <v>46</v>
      </c>
      <c r="F333" s="5" t="s">
        <v>685</v>
      </c>
      <c r="G333" s="4" t="s">
        <v>47</v>
      </c>
      <c r="H333" s="5" t="s">
        <v>144</v>
      </c>
      <c r="I333" s="4" t="s">
        <v>700</v>
      </c>
      <c r="J333" s="4" t="s">
        <v>7</v>
      </c>
      <c r="K333" s="4" t="s">
        <v>556</v>
      </c>
      <c r="L333" s="4" t="s">
        <v>111</v>
      </c>
      <c r="M333" s="5" t="s">
        <v>112</v>
      </c>
    </row>
    <row r="334" customFormat="false" ht="46.25" hidden="false" customHeight="false" outlineLevel="0" collapsed="false">
      <c r="A334" s="5" t="n">
        <v>330</v>
      </c>
      <c r="B334" s="4" t="s">
        <v>12</v>
      </c>
      <c r="C334" s="4" t="s">
        <v>106</v>
      </c>
      <c r="D334" s="4" t="s">
        <v>45</v>
      </c>
      <c r="E334" s="4" t="s">
        <v>46</v>
      </c>
      <c r="F334" s="5" t="s">
        <v>685</v>
      </c>
      <c r="G334" s="4" t="s">
        <v>47</v>
      </c>
      <c r="H334" s="5" t="s">
        <v>202</v>
      </c>
      <c r="I334" s="4" t="s">
        <v>701</v>
      </c>
      <c r="J334" s="4" t="s">
        <v>9</v>
      </c>
      <c r="K334" s="4" t="s">
        <v>702</v>
      </c>
      <c r="L334" s="4" t="s">
        <v>111</v>
      </c>
      <c r="M334" s="5" t="s">
        <v>205</v>
      </c>
    </row>
    <row r="335" customFormat="false" ht="46.25" hidden="false" customHeight="false" outlineLevel="0" collapsed="false">
      <c r="A335" s="5" t="n">
        <v>331</v>
      </c>
      <c r="B335" s="4" t="s">
        <v>12</v>
      </c>
      <c r="C335" s="4" t="s">
        <v>106</v>
      </c>
      <c r="D335" s="4" t="s">
        <v>45</v>
      </c>
      <c r="E335" s="4" t="s">
        <v>46</v>
      </c>
      <c r="F335" s="5" t="s">
        <v>685</v>
      </c>
      <c r="G335" s="4" t="s">
        <v>47</v>
      </c>
      <c r="H335" s="5" t="s">
        <v>206</v>
      </c>
      <c r="I335" s="4" t="s">
        <v>703</v>
      </c>
      <c r="J335" s="4" t="s">
        <v>9</v>
      </c>
      <c r="K335" s="4" t="s">
        <v>704</v>
      </c>
      <c r="L335" s="4" t="s">
        <v>111</v>
      </c>
      <c r="M335" s="5" t="s">
        <v>205</v>
      </c>
    </row>
    <row r="336" customFormat="false" ht="35.05" hidden="false" customHeight="false" outlineLevel="0" collapsed="false">
      <c r="A336" s="5" t="n">
        <v>332</v>
      </c>
      <c r="B336" s="4" t="s">
        <v>12</v>
      </c>
      <c r="C336" s="4" t="s">
        <v>106</v>
      </c>
      <c r="D336" s="4" t="s">
        <v>45</v>
      </c>
      <c r="E336" s="4" t="s">
        <v>46</v>
      </c>
      <c r="F336" s="5" t="s">
        <v>685</v>
      </c>
      <c r="G336" s="4" t="s">
        <v>47</v>
      </c>
      <c r="H336" s="5" t="s">
        <v>209</v>
      </c>
      <c r="I336" s="4" t="s">
        <v>705</v>
      </c>
      <c r="J336" s="4" t="s">
        <v>9</v>
      </c>
      <c r="K336" s="4" t="s">
        <v>706</v>
      </c>
      <c r="L336" s="4" t="s">
        <v>111</v>
      </c>
      <c r="M336" s="5" t="s">
        <v>205</v>
      </c>
    </row>
    <row r="337" customFormat="false" ht="35.05" hidden="false" customHeight="false" outlineLevel="0" collapsed="false">
      <c r="A337" s="5" t="n">
        <v>333</v>
      </c>
      <c r="B337" s="4" t="s">
        <v>12</v>
      </c>
      <c r="C337" s="4" t="s">
        <v>106</v>
      </c>
      <c r="D337" s="4" t="s">
        <v>45</v>
      </c>
      <c r="E337" s="4" t="s">
        <v>46</v>
      </c>
      <c r="F337" s="5" t="s">
        <v>685</v>
      </c>
      <c r="G337" s="4" t="s">
        <v>47</v>
      </c>
      <c r="H337" s="5" t="s">
        <v>212</v>
      </c>
      <c r="I337" s="4" t="s">
        <v>707</v>
      </c>
      <c r="J337" s="4" t="s">
        <v>9</v>
      </c>
      <c r="K337" s="4" t="s">
        <v>708</v>
      </c>
      <c r="L337" s="4" t="s">
        <v>111</v>
      </c>
      <c r="M337" s="5" t="s">
        <v>205</v>
      </c>
    </row>
    <row r="338" customFormat="false" ht="35.05" hidden="false" customHeight="false" outlineLevel="0" collapsed="false">
      <c r="A338" s="5" t="n">
        <v>334</v>
      </c>
      <c r="B338" s="4" t="s">
        <v>12</v>
      </c>
      <c r="C338" s="4" t="s">
        <v>106</v>
      </c>
      <c r="D338" s="4" t="s">
        <v>45</v>
      </c>
      <c r="E338" s="4" t="s">
        <v>46</v>
      </c>
      <c r="F338" s="5" t="s">
        <v>685</v>
      </c>
      <c r="G338" s="4" t="s">
        <v>47</v>
      </c>
      <c r="H338" s="5" t="s">
        <v>215</v>
      </c>
      <c r="I338" s="4" t="s">
        <v>709</v>
      </c>
      <c r="J338" s="4" t="s">
        <v>9</v>
      </c>
      <c r="K338" s="4" t="s">
        <v>710</v>
      </c>
      <c r="L338" s="4" t="s">
        <v>111</v>
      </c>
      <c r="M338" s="5" t="s">
        <v>205</v>
      </c>
    </row>
    <row r="339" customFormat="false" ht="46.25" hidden="false" customHeight="false" outlineLevel="0" collapsed="false">
      <c r="A339" s="5" t="n">
        <v>335</v>
      </c>
      <c r="B339" s="4" t="s">
        <v>12</v>
      </c>
      <c r="C339" s="4" t="s">
        <v>106</v>
      </c>
      <c r="D339" s="4" t="s">
        <v>45</v>
      </c>
      <c r="E339" s="4" t="s">
        <v>46</v>
      </c>
      <c r="F339" s="5" t="s">
        <v>685</v>
      </c>
      <c r="G339" s="4" t="s">
        <v>47</v>
      </c>
      <c r="H339" s="5" t="s">
        <v>218</v>
      </c>
      <c r="I339" s="4" t="s">
        <v>711</v>
      </c>
      <c r="J339" s="4" t="s">
        <v>9</v>
      </c>
      <c r="K339" s="4" t="s">
        <v>712</v>
      </c>
      <c r="L339" s="4" t="s">
        <v>111</v>
      </c>
      <c r="M339" s="5" t="s">
        <v>205</v>
      </c>
    </row>
    <row r="340" customFormat="false" ht="35.05" hidden="false" customHeight="false" outlineLevel="0" collapsed="false">
      <c r="A340" s="5" t="n">
        <v>336</v>
      </c>
      <c r="B340" s="4" t="s">
        <v>12</v>
      </c>
      <c r="C340" s="4" t="s">
        <v>106</v>
      </c>
      <c r="D340" s="4" t="s">
        <v>45</v>
      </c>
      <c r="E340" s="4" t="s">
        <v>46</v>
      </c>
      <c r="F340" s="5" t="s">
        <v>685</v>
      </c>
      <c r="G340" s="4" t="s">
        <v>47</v>
      </c>
      <c r="H340" s="5" t="s">
        <v>221</v>
      </c>
      <c r="I340" s="4" t="s">
        <v>713</v>
      </c>
      <c r="J340" s="4" t="s">
        <v>9</v>
      </c>
      <c r="K340" s="4" t="s">
        <v>714</v>
      </c>
      <c r="L340" s="4" t="s">
        <v>111</v>
      </c>
      <c r="M340" s="5" t="s">
        <v>205</v>
      </c>
    </row>
    <row r="341" customFormat="false" ht="35.05" hidden="false" customHeight="false" outlineLevel="0" collapsed="false">
      <c r="A341" s="5" t="n">
        <v>337</v>
      </c>
      <c r="B341" s="4" t="s">
        <v>12</v>
      </c>
      <c r="C341" s="4" t="s">
        <v>106</v>
      </c>
      <c r="D341" s="4" t="s">
        <v>45</v>
      </c>
      <c r="E341" s="4" t="s">
        <v>46</v>
      </c>
      <c r="F341" s="5" t="s">
        <v>685</v>
      </c>
      <c r="G341" s="4" t="s">
        <v>47</v>
      </c>
      <c r="H341" s="5" t="s">
        <v>490</v>
      </c>
      <c r="I341" s="4" t="s">
        <v>715</v>
      </c>
      <c r="J341" s="4" t="s">
        <v>9</v>
      </c>
      <c r="K341" s="4" t="s">
        <v>716</v>
      </c>
      <c r="L341" s="4" t="s">
        <v>111</v>
      </c>
      <c r="M341" s="5" t="s">
        <v>205</v>
      </c>
    </row>
    <row r="342" customFormat="false" ht="23.85" hidden="false" customHeight="false" outlineLevel="0" collapsed="false">
      <c r="A342" s="5" t="n">
        <v>338</v>
      </c>
      <c r="B342" s="4" t="s">
        <v>12</v>
      </c>
      <c r="C342" s="4" t="s">
        <v>106</v>
      </c>
      <c r="D342" s="4" t="s">
        <v>45</v>
      </c>
      <c r="E342" s="4" t="s">
        <v>46</v>
      </c>
      <c r="F342" s="5" t="s">
        <v>685</v>
      </c>
      <c r="G342" s="4" t="s">
        <v>47</v>
      </c>
      <c r="H342" s="5" t="s">
        <v>493</v>
      </c>
      <c r="I342" s="4" t="s">
        <v>717</v>
      </c>
      <c r="J342" s="4" t="s">
        <v>9</v>
      </c>
      <c r="K342" s="4" t="s">
        <v>718</v>
      </c>
      <c r="L342" s="4" t="s">
        <v>111</v>
      </c>
      <c r="M342" s="5" t="s">
        <v>205</v>
      </c>
    </row>
    <row r="343" customFormat="false" ht="35.05" hidden="false" customHeight="false" outlineLevel="0" collapsed="false">
      <c r="A343" s="5" t="n">
        <v>339</v>
      </c>
      <c r="B343" s="4" t="s">
        <v>12</v>
      </c>
      <c r="C343" s="4" t="s">
        <v>106</v>
      </c>
      <c r="D343" s="4" t="s">
        <v>45</v>
      </c>
      <c r="E343" s="4" t="s">
        <v>46</v>
      </c>
      <c r="F343" s="5" t="s">
        <v>685</v>
      </c>
      <c r="G343" s="4" t="s">
        <v>47</v>
      </c>
      <c r="H343" s="5" t="s">
        <v>596</v>
      </c>
      <c r="I343" s="4" t="s">
        <v>719</v>
      </c>
      <c r="J343" s="4" t="s">
        <v>9</v>
      </c>
      <c r="K343" s="4" t="s">
        <v>720</v>
      </c>
      <c r="L343" s="4" t="s">
        <v>111</v>
      </c>
      <c r="M343" s="5" t="s">
        <v>205</v>
      </c>
    </row>
    <row r="344" customFormat="false" ht="23.85" hidden="false" customHeight="false" outlineLevel="0" collapsed="false">
      <c r="A344" s="5" t="n">
        <v>340</v>
      </c>
      <c r="B344" s="4" t="s">
        <v>12</v>
      </c>
      <c r="C344" s="4" t="s">
        <v>106</v>
      </c>
      <c r="D344" s="4" t="s">
        <v>45</v>
      </c>
      <c r="E344" s="4" t="s">
        <v>46</v>
      </c>
      <c r="F344" s="5" t="s">
        <v>685</v>
      </c>
      <c r="G344" s="4" t="s">
        <v>47</v>
      </c>
      <c r="H344" s="5" t="s">
        <v>641</v>
      </c>
      <c r="I344" s="4" t="s">
        <v>721</v>
      </c>
      <c r="J344" s="4" t="s">
        <v>9</v>
      </c>
      <c r="K344" s="4" t="s">
        <v>722</v>
      </c>
      <c r="L344" s="4" t="s">
        <v>111</v>
      </c>
      <c r="M344" s="5" t="s">
        <v>205</v>
      </c>
    </row>
    <row r="345" customFormat="false" ht="23.85" hidden="false" customHeight="false" outlineLevel="0" collapsed="false">
      <c r="A345" s="5" t="n">
        <v>341</v>
      </c>
      <c r="B345" s="4" t="s">
        <v>12</v>
      </c>
      <c r="C345" s="4" t="s">
        <v>106</v>
      </c>
      <c r="D345" s="4" t="s">
        <v>45</v>
      </c>
      <c r="E345" s="4" t="s">
        <v>46</v>
      </c>
      <c r="F345" s="5" t="s">
        <v>685</v>
      </c>
      <c r="G345" s="4" t="s">
        <v>47</v>
      </c>
      <c r="H345" s="5" t="s">
        <v>680</v>
      </c>
      <c r="I345" s="4" t="s">
        <v>723</v>
      </c>
      <c r="J345" s="4" t="s">
        <v>9</v>
      </c>
      <c r="K345" s="4" t="s">
        <v>598</v>
      </c>
      <c r="L345" s="4" t="s">
        <v>111</v>
      </c>
      <c r="M345" s="5" t="s">
        <v>205</v>
      </c>
    </row>
    <row r="346" customFormat="false" ht="15" hidden="false" customHeight="false" outlineLevel="0" collapsed="false">
      <c r="A346" s="5" t="n">
        <v>342</v>
      </c>
      <c r="B346" s="4" t="s">
        <v>50</v>
      </c>
      <c r="C346" s="4" t="s">
        <v>724</v>
      </c>
      <c r="D346" s="4" t="s">
        <v>51</v>
      </c>
      <c r="E346" s="4" t="s">
        <v>52</v>
      </c>
      <c r="F346" s="5" t="s">
        <v>725</v>
      </c>
      <c r="G346" s="4"/>
      <c r="H346" s="5" t="s">
        <v>108</v>
      </c>
      <c r="I346" s="4" t="s">
        <v>726</v>
      </c>
      <c r="J346" s="4" t="s">
        <v>7</v>
      </c>
      <c r="K346" s="4" t="s">
        <v>727</v>
      </c>
      <c r="L346" s="4" t="s">
        <v>111</v>
      </c>
      <c r="M346" s="5" t="s">
        <v>112</v>
      </c>
    </row>
    <row r="347" customFormat="false" ht="15" hidden="false" customHeight="false" outlineLevel="0" collapsed="false">
      <c r="A347" s="5" t="n">
        <v>343</v>
      </c>
      <c r="B347" s="4" t="s">
        <v>50</v>
      </c>
      <c r="C347" s="4" t="s">
        <v>724</v>
      </c>
      <c r="D347" s="4" t="s">
        <v>51</v>
      </c>
      <c r="E347" s="4" t="s">
        <v>52</v>
      </c>
      <c r="F347" s="5" t="s">
        <v>725</v>
      </c>
      <c r="G347" s="4"/>
      <c r="H347" s="5" t="s">
        <v>113</v>
      </c>
      <c r="I347" s="4" t="s">
        <v>728</v>
      </c>
      <c r="J347" s="4" t="s">
        <v>7</v>
      </c>
      <c r="K347" s="4" t="s">
        <v>727</v>
      </c>
      <c r="L347" s="4" t="s">
        <v>111</v>
      </c>
      <c r="M347" s="5" t="s">
        <v>112</v>
      </c>
    </row>
    <row r="348" customFormat="false" ht="15" hidden="false" customHeight="false" outlineLevel="0" collapsed="false">
      <c r="A348" s="5" t="n">
        <v>344</v>
      </c>
      <c r="B348" s="4" t="s">
        <v>50</v>
      </c>
      <c r="C348" s="4" t="s">
        <v>724</v>
      </c>
      <c r="D348" s="4" t="s">
        <v>51</v>
      </c>
      <c r="E348" s="4" t="s">
        <v>52</v>
      </c>
      <c r="F348" s="5" t="s">
        <v>725</v>
      </c>
      <c r="G348" s="4"/>
      <c r="H348" s="5" t="s">
        <v>115</v>
      </c>
      <c r="I348" s="4" t="s">
        <v>729</v>
      </c>
      <c r="J348" s="4" t="s">
        <v>7</v>
      </c>
      <c r="K348" s="4" t="s">
        <v>727</v>
      </c>
      <c r="L348" s="4" t="s">
        <v>111</v>
      </c>
      <c r="M348" s="5" t="s">
        <v>112</v>
      </c>
    </row>
    <row r="349" customFormat="false" ht="15" hidden="false" customHeight="false" outlineLevel="0" collapsed="false">
      <c r="A349" s="5" t="n">
        <v>345</v>
      </c>
      <c r="B349" s="4" t="s">
        <v>50</v>
      </c>
      <c r="C349" s="4" t="s">
        <v>724</v>
      </c>
      <c r="D349" s="4" t="s">
        <v>51</v>
      </c>
      <c r="E349" s="4" t="s">
        <v>52</v>
      </c>
      <c r="F349" s="5" t="s">
        <v>725</v>
      </c>
      <c r="G349" s="4"/>
      <c r="H349" s="5" t="s">
        <v>118</v>
      </c>
      <c r="I349" s="4" t="s">
        <v>730</v>
      </c>
      <c r="J349" s="4" t="s">
        <v>7</v>
      </c>
      <c r="K349" s="4" t="s">
        <v>727</v>
      </c>
      <c r="L349" s="4" t="s">
        <v>111</v>
      </c>
      <c r="M349" s="5" t="s">
        <v>112</v>
      </c>
    </row>
    <row r="350" customFormat="false" ht="15" hidden="false" customHeight="false" outlineLevel="0" collapsed="false">
      <c r="A350" s="5" t="n">
        <v>346</v>
      </c>
      <c r="B350" s="4" t="s">
        <v>50</v>
      </c>
      <c r="C350" s="4" t="s">
        <v>724</v>
      </c>
      <c r="D350" s="4" t="s">
        <v>51</v>
      </c>
      <c r="E350" s="4" t="s">
        <v>52</v>
      </c>
      <c r="F350" s="5" t="s">
        <v>725</v>
      </c>
      <c r="G350" s="4"/>
      <c r="H350" s="5" t="s">
        <v>120</v>
      </c>
      <c r="I350" s="4" t="s">
        <v>731</v>
      </c>
      <c r="J350" s="4" t="s">
        <v>7</v>
      </c>
      <c r="K350" s="4" t="s">
        <v>727</v>
      </c>
      <c r="L350" s="4" t="s">
        <v>111</v>
      </c>
      <c r="M350" s="5" t="s">
        <v>112</v>
      </c>
    </row>
    <row r="351" customFormat="false" ht="15" hidden="false" customHeight="false" outlineLevel="0" collapsed="false">
      <c r="A351" s="5" t="n">
        <v>347</v>
      </c>
      <c r="B351" s="4" t="s">
        <v>50</v>
      </c>
      <c r="C351" s="4" t="s">
        <v>724</v>
      </c>
      <c r="D351" s="4" t="s">
        <v>51</v>
      </c>
      <c r="E351" s="4" t="s">
        <v>52</v>
      </c>
      <c r="F351" s="5" t="s">
        <v>725</v>
      </c>
      <c r="G351" s="4"/>
      <c r="H351" s="5" t="s">
        <v>122</v>
      </c>
      <c r="I351" s="4" t="s">
        <v>732</v>
      </c>
      <c r="J351" s="4" t="s">
        <v>7</v>
      </c>
      <c r="K351" s="4" t="s">
        <v>733</v>
      </c>
      <c r="L351" s="4" t="s">
        <v>111</v>
      </c>
      <c r="M351" s="5" t="s">
        <v>112</v>
      </c>
    </row>
    <row r="352" customFormat="false" ht="23.85" hidden="false" customHeight="false" outlineLevel="0" collapsed="false">
      <c r="A352" s="5" t="n">
        <v>348</v>
      </c>
      <c r="B352" s="4" t="s">
        <v>50</v>
      </c>
      <c r="C352" s="4" t="s">
        <v>724</v>
      </c>
      <c r="D352" s="4" t="s">
        <v>51</v>
      </c>
      <c r="E352" s="4" t="s">
        <v>52</v>
      </c>
      <c r="F352" s="5" t="s">
        <v>725</v>
      </c>
      <c r="G352" s="4"/>
      <c r="H352" s="5" t="s">
        <v>124</v>
      </c>
      <c r="I352" s="4" t="s">
        <v>734</v>
      </c>
      <c r="J352" s="4" t="s">
        <v>7</v>
      </c>
      <c r="K352" s="4" t="s">
        <v>735</v>
      </c>
      <c r="L352" s="4" t="s">
        <v>111</v>
      </c>
      <c r="M352" s="5" t="s">
        <v>112</v>
      </c>
    </row>
    <row r="353" customFormat="false" ht="15" hidden="false" customHeight="false" outlineLevel="0" collapsed="false">
      <c r="A353" s="5" t="n">
        <v>349</v>
      </c>
      <c r="B353" s="4" t="s">
        <v>50</v>
      </c>
      <c r="C353" s="4" t="s">
        <v>724</v>
      </c>
      <c r="D353" s="4" t="s">
        <v>51</v>
      </c>
      <c r="E353" s="4" t="s">
        <v>52</v>
      </c>
      <c r="F353" s="5" t="s">
        <v>725</v>
      </c>
      <c r="G353" s="4"/>
      <c r="H353" s="5" t="s">
        <v>126</v>
      </c>
      <c r="I353" s="4" t="s">
        <v>736</v>
      </c>
      <c r="J353" s="4" t="s">
        <v>162</v>
      </c>
      <c r="K353" s="4" t="s">
        <v>737</v>
      </c>
      <c r="L353" s="4" t="s">
        <v>164</v>
      </c>
      <c r="M353" s="5" t="s">
        <v>112</v>
      </c>
    </row>
    <row r="354" customFormat="false" ht="15" hidden="false" customHeight="false" outlineLevel="0" collapsed="false">
      <c r="A354" s="5" t="n">
        <v>350</v>
      </c>
      <c r="B354" s="4" t="s">
        <v>50</v>
      </c>
      <c r="C354" s="4" t="s">
        <v>724</v>
      </c>
      <c r="D354" s="4" t="s">
        <v>51</v>
      </c>
      <c r="E354" s="4" t="s">
        <v>52</v>
      </c>
      <c r="F354" s="5" t="s">
        <v>725</v>
      </c>
      <c r="G354" s="4"/>
      <c r="H354" s="5" t="s">
        <v>129</v>
      </c>
      <c r="I354" s="4" t="s">
        <v>738</v>
      </c>
      <c r="J354" s="4" t="s">
        <v>162</v>
      </c>
      <c r="K354" s="4" t="s">
        <v>739</v>
      </c>
      <c r="L354" s="4" t="s">
        <v>164</v>
      </c>
      <c r="M354" s="5" t="s">
        <v>112</v>
      </c>
    </row>
    <row r="355" customFormat="false" ht="15" hidden="false" customHeight="false" outlineLevel="0" collapsed="false">
      <c r="A355" s="5" t="n">
        <v>351</v>
      </c>
      <c r="B355" s="4" t="s">
        <v>50</v>
      </c>
      <c r="C355" s="4" t="s">
        <v>724</v>
      </c>
      <c r="D355" s="4" t="s">
        <v>51</v>
      </c>
      <c r="E355" s="4" t="s">
        <v>52</v>
      </c>
      <c r="F355" s="5" t="s">
        <v>725</v>
      </c>
      <c r="G355" s="4"/>
      <c r="H355" s="5" t="s">
        <v>131</v>
      </c>
      <c r="I355" s="4" t="s">
        <v>740</v>
      </c>
      <c r="J355" s="4" t="s">
        <v>162</v>
      </c>
      <c r="K355" s="4" t="s">
        <v>741</v>
      </c>
      <c r="L355" s="4" t="s">
        <v>164</v>
      </c>
      <c r="M355" s="5" t="s">
        <v>112</v>
      </c>
    </row>
    <row r="356" customFormat="false" ht="15" hidden="false" customHeight="false" outlineLevel="0" collapsed="false">
      <c r="A356" s="5" t="n">
        <v>352</v>
      </c>
      <c r="B356" s="4" t="s">
        <v>50</v>
      </c>
      <c r="C356" s="4" t="s">
        <v>724</v>
      </c>
      <c r="D356" s="4" t="s">
        <v>51</v>
      </c>
      <c r="E356" s="4" t="s">
        <v>52</v>
      </c>
      <c r="F356" s="5" t="s">
        <v>725</v>
      </c>
      <c r="G356" s="4"/>
      <c r="H356" s="5" t="s">
        <v>134</v>
      </c>
      <c r="I356" s="4" t="s">
        <v>742</v>
      </c>
      <c r="J356" s="4" t="s">
        <v>162</v>
      </c>
      <c r="K356" s="4" t="s">
        <v>743</v>
      </c>
      <c r="L356" s="4" t="s">
        <v>164</v>
      </c>
      <c r="M356" s="5" t="s">
        <v>112</v>
      </c>
    </row>
    <row r="357" customFormat="false" ht="35.05" hidden="false" customHeight="false" outlineLevel="0" collapsed="false">
      <c r="A357" s="5" t="n">
        <v>353</v>
      </c>
      <c r="B357" s="4" t="s">
        <v>50</v>
      </c>
      <c r="C357" s="4" t="s">
        <v>724</v>
      </c>
      <c r="D357" s="4" t="s">
        <v>51</v>
      </c>
      <c r="E357" s="4" t="s">
        <v>52</v>
      </c>
      <c r="F357" s="5" t="s">
        <v>725</v>
      </c>
      <c r="G357" s="4"/>
      <c r="H357" s="5" t="s">
        <v>202</v>
      </c>
      <c r="I357" s="4" t="s">
        <v>744</v>
      </c>
      <c r="J357" s="4" t="s">
        <v>9</v>
      </c>
      <c r="K357" s="4" t="s">
        <v>745</v>
      </c>
      <c r="L357" s="4" t="s">
        <v>111</v>
      </c>
      <c r="M357" s="5" t="s">
        <v>205</v>
      </c>
    </row>
    <row r="358" customFormat="false" ht="23.85" hidden="false" customHeight="false" outlineLevel="0" collapsed="false">
      <c r="A358" s="5" t="n">
        <v>354</v>
      </c>
      <c r="B358" s="4" t="s">
        <v>50</v>
      </c>
      <c r="C358" s="4" t="s">
        <v>724</v>
      </c>
      <c r="D358" s="4" t="s">
        <v>51</v>
      </c>
      <c r="E358" s="4" t="s">
        <v>52</v>
      </c>
      <c r="F358" s="5" t="s">
        <v>725</v>
      </c>
      <c r="G358" s="4"/>
      <c r="H358" s="5" t="s">
        <v>206</v>
      </c>
      <c r="I358" s="4" t="s">
        <v>746</v>
      </c>
      <c r="J358" s="4" t="s">
        <v>9</v>
      </c>
      <c r="K358" s="4" t="s">
        <v>747</v>
      </c>
      <c r="L358" s="4" t="s">
        <v>111</v>
      </c>
      <c r="M358" s="5" t="s">
        <v>205</v>
      </c>
    </row>
    <row r="359" customFormat="false" ht="23.85" hidden="false" customHeight="false" outlineLevel="0" collapsed="false">
      <c r="A359" s="5" t="n">
        <v>355</v>
      </c>
      <c r="B359" s="4" t="s">
        <v>50</v>
      </c>
      <c r="C359" s="4" t="s">
        <v>724</v>
      </c>
      <c r="D359" s="4" t="s">
        <v>51</v>
      </c>
      <c r="E359" s="4" t="s">
        <v>52</v>
      </c>
      <c r="F359" s="5" t="s">
        <v>725</v>
      </c>
      <c r="G359" s="4"/>
      <c r="H359" s="5" t="s">
        <v>209</v>
      </c>
      <c r="I359" s="4" t="s">
        <v>748</v>
      </c>
      <c r="J359" s="4" t="s">
        <v>9</v>
      </c>
      <c r="K359" s="4" t="s">
        <v>749</v>
      </c>
      <c r="L359" s="4" t="s">
        <v>111</v>
      </c>
      <c r="M359" s="5" t="s">
        <v>205</v>
      </c>
    </row>
    <row r="360" customFormat="false" ht="35.05" hidden="false" customHeight="false" outlineLevel="0" collapsed="false">
      <c r="A360" s="5" t="n">
        <v>356</v>
      </c>
      <c r="B360" s="4" t="s">
        <v>50</v>
      </c>
      <c r="C360" s="4" t="s">
        <v>724</v>
      </c>
      <c r="D360" s="4" t="s">
        <v>51</v>
      </c>
      <c r="E360" s="4" t="s">
        <v>52</v>
      </c>
      <c r="F360" s="5" t="s">
        <v>725</v>
      </c>
      <c r="G360" s="4"/>
      <c r="H360" s="5" t="s">
        <v>212</v>
      </c>
      <c r="I360" s="4" t="s">
        <v>750</v>
      </c>
      <c r="J360" s="4" t="s">
        <v>9</v>
      </c>
      <c r="K360" s="4" t="s">
        <v>751</v>
      </c>
      <c r="L360" s="4" t="s">
        <v>111</v>
      </c>
      <c r="M360" s="5" t="s">
        <v>205</v>
      </c>
    </row>
    <row r="361" customFormat="false" ht="15" hidden="false" customHeight="false" outlineLevel="0" collapsed="false">
      <c r="A361" s="5" t="n">
        <v>357</v>
      </c>
      <c r="B361" s="4" t="s">
        <v>50</v>
      </c>
      <c r="C361" s="4" t="s">
        <v>724</v>
      </c>
      <c r="D361" s="4" t="s">
        <v>53</v>
      </c>
      <c r="E361" s="4" t="s">
        <v>54</v>
      </c>
      <c r="F361" s="5" t="s">
        <v>752</v>
      </c>
      <c r="G361" s="4"/>
      <c r="H361" s="5" t="s">
        <v>108</v>
      </c>
      <c r="I361" s="4" t="s">
        <v>753</v>
      </c>
      <c r="J361" s="4" t="s">
        <v>7</v>
      </c>
      <c r="K361" s="4" t="s">
        <v>754</v>
      </c>
      <c r="L361" s="4" t="s">
        <v>111</v>
      </c>
      <c r="M361" s="5" t="s">
        <v>112</v>
      </c>
    </row>
    <row r="362" customFormat="false" ht="15" hidden="false" customHeight="false" outlineLevel="0" collapsed="false">
      <c r="A362" s="5" t="n">
        <v>358</v>
      </c>
      <c r="B362" s="4" t="s">
        <v>50</v>
      </c>
      <c r="C362" s="4" t="s">
        <v>724</v>
      </c>
      <c r="D362" s="4" t="s">
        <v>53</v>
      </c>
      <c r="E362" s="4" t="s">
        <v>54</v>
      </c>
      <c r="F362" s="5" t="s">
        <v>752</v>
      </c>
      <c r="G362" s="4"/>
      <c r="H362" s="5" t="s">
        <v>113</v>
      </c>
      <c r="I362" s="4" t="s">
        <v>755</v>
      </c>
      <c r="J362" s="4" t="s">
        <v>7</v>
      </c>
      <c r="K362" s="4" t="s">
        <v>754</v>
      </c>
      <c r="L362" s="4" t="s">
        <v>111</v>
      </c>
      <c r="M362" s="5" t="s">
        <v>112</v>
      </c>
    </row>
    <row r="363" customFormat="false" ht="15" hidden="false" customHeight="false" outlineLevel="0" collapsed="false">
      <c r="A363" s="5" t="n">
        <v>359</v>
      </c>
      <c r="B363" s="4" t="s">
        <v>50</v>
      </c>
      <c r="C363" s="4" t="s">
        <v>724</v>
      </c>
      <c r="D363" s="4" t="s">
        <v>53</v>
      </c>
      <c r="E363" s="4" t="s">
        <v>54</v>
      </c>
      <c r="F363" s="5" t="s">
        <v>752</v>
      </c>
      <c r="G363" s="4"/>
      <c r="H363" s="5" t="s">
        <v>115</v>
      </c>
      <c r="I363" s="4" t="s">
        <v>756</v>
      </c>
      <c r="J363" s="4" t="s">
        <v>7</v>
      </c>
      <c r="K363" s="4" t="s">
        <v>754</v>
      </c>
      <c r="L363" s="4" t="s">
        <v>111</v>
      </c>
      <c r="M363" s="5" t="s">
        <v>112</v>
      </c>
    </row>
    <row r="364" customFormat="false" ht="15" hidden="false" customHeight="false" outlineLevel="0" collapsed="false">
      <c r="A364" s="5" t="n">
        <v>360</v>
      </c>
      <c r="B364" s="4" t="s">
        <v>50</v>
      </c>
      <c r="C364" s="4" t="s">
        <v>724</v>
      </c>
      <c r="D364" s="4" t="s">
        <v>53</v>
      </c>
      <c r="E364" s="4" t="s">
        <v>54</v>
      </c>
      <c r="F364" s="5" t="s">
        <v>752</v>
      </c>
      <c r="G364" s="4"/>
      <c r="H364" s="5" t="s">
        <v>118</v>
      </c>
      <c r="I364" s="4" t="s">
        <v>757</v>
      </c>
      <c r="J364" s="4" t="s">
        <v>7</v>
      </c>
      <c r="K364" s="4" t="s">
        <v>754</v>
      </c>
      <c r="L364" s="4" t="s">
        <v>111</v>
      </c>
      <c r="M364" s="5" t="s">
        <v>112</v>
      </c>
    </row>
    <row r="365" customFormat="false" ht="15" hidden="false" customHeight="false" outlineLevel="0" collapsed="false">
      <c r="A365" s="5" t="n">
        <v>361</v>
      </c>
      <c r="B365" s="4" t="s">
        <v>50</v>
      </c>
      <c r="C365" s="4" t="s">
        <v>724</v>
      </c>
      <c r="D365" s="4" t="s">
        <v>53</v>
      </c>
      <c r="E365" s="4" t="s">
        <v>54</v>
      </c>
      <c r="F365" s="5" t="s">
        <v>752</v>
      </c>
      <c r="G365" s="4"/>
      <c r="H365" s="5" t="s">
        <v>120</v>
      </c>
      <c r="I365" s="4" t="s">
        <v>758</v>
      </c>
      <c r="J365" s="4" t="s">
        <v>7</v>
      </c>
      <c r="K365" s="4" t="s">
        <v>754</v>
      </c>
      <c r="L365" s="4" t="s">
        <v>111</v>
      </c>
      <c r="M365" s="5" t="s">
        <v>112</v>
      </c>
    </row>
    <row r="366" customFormat="false" ht="15" hidden="false" customHeight="false" outlineLevel="0" collapsed="false">
      <c r="A366" s="5" t="n">
        <v>362</v>
      </c>
      <c r="B366" s="4" t="s">
        <v>50</v>
      </c>
      <c r="C366" s="4" t="s">
        <v>724</v>
      </c>
      <c r="D366" s="4" t="s">
        <v>53</v>
      </c>
      <c r="E366" s="4" t="s">
        <v>54</v>
      </c>
      <c r="F366" s="5" t="s">
        <v>752</v>
      </c>
      <c r="G366" s="4"/>
      <c r="H366" s="5" t="s">
        <v>122</v>
      </c>
      <c r="I366" s="4" t="s">
        <v>759</v>
      </c>
      <c r="J366" s="4" t="s">
        <v>7</v>
      </c>
      <c r="K366" s="4" t="s">
        <v>754</v>
      </c>
      <c r="L366" s="4" t="s">
        <v>111</v>
      </c>
      <c r="M366" s="5" t="s">
        <v>112</v>
      </c>
    </row>
    <row r="367" customFormat="false" ht="15" hidden="false" customHeight="false" outlineLevel="0" collapsed="false">
      <c r="A367" s="5" t="n">
        <v>363</v>
      </c>
      <c r="B367" s="4" t="s">
        <v>50</v>
      </c>
      <c r="C367" s="4" t="s">
        <v>724</v>
      </c>
      <c r="D367" s="4" t="s">
        <v>53</v>
      </c>
      <c r="E367" s="4" t="s">
        <v>54</v>
      </c>
      <c r="F367" s="5" t="s">
        <v>752</v>
      </c>
      <c r="G367" s="4"/>
      <c r="H367" s="5" t="s">
        <v>124</v>
      </c>
      <c r="I367" s="4" t="s">
        <v>760</v>
      </c>
      <c r="J367" s="4" t="s">
        <v>7</v>
      </c>
      <c r="K367" s="4" t="s">
        <v>754</v>
      </c>
      <c r="L367" s="4" t="s">
        <v>111</v>
      </c>
      <c r="M367" s="5" t="s">
        <v>112</v>
      </c>
    </row>
    <row r="368" customFormat="false" ht="15" hidden="false" customHeight="false" outlineLevel="0" collapsed="false">
      <c r="A368" s="5" t="n">
        <v>364</v>
      </c>
      <c r="B368" s="4" t="s">
        <v>50</v>
      </c>
      <c r="C368" s="4" t="s">
        <v>724</v>
      </c>
      <c r="D368" s="4" t="s">
        <v>53</v>
      </c>
      <c r="E368" s="4" t="s">
        <v>54</v>
      </c>
      <c r="F368" s="5" t="s">
        <v>752</v>
      </c>
      <c r="G368" s="4"/>
      <c r="H368" s="5" t="s">
        <v>126</v>
      </c>
      <c r="I368" s="4" t="s">
        <v>761</v>
      </c>
      <c r="J368" s="4" t="s">
        <v>7</v>
      </c>
      <c r="K368" s="4" t="s">
        <v>754</v>
      </c>
      <c r="L368" s="4" t="s">
        <v>111</v>
      </c>
      <c r="M368" s="5" t="s">
        <v>112</v>
      </c>
    </row>
    <row r="369" customFormat="false" ht="23.85" hidden="false" customHeight="false" outlineLevel="0" collapsed="false">
      <c r="A369" s="5" t="n">
        <v>365</v>
      </c>
      <c r="B369" s="4" t="s">
        <v>50</v>
      </c>
      <c r="C369" s="4" t="s">
        <v>724</v>
      </c>
      <c r="D369" s="4" t="s">
        <v>53</v>
      </c>
      <c r="E369" s="4" t="s">
        <v>54</v>
      </c>
      <c r="F369" s="5" t="s">
        <v>752</v>
      </c>
      <c r="G369" s="4"/>
      <c r="H369" s="5" t="s">
        <v>129</v>
      </c>
      <c r="I369" s="4" t="s">
        <v>762</v>
      </c>
      <c r="J369" s="4" t="s">
        <v>7</v>
      </c>
      <c r="K369" s="4" t="s">
        <v>733</v>
      </c>
      <c r="L369" s="4" t="s">
        <v>111</v>
      </c>
      <c r="M369" s="5" t="s">
        <v>112</v>
      </c>
    </row>
    <row r="370" customFormat="false" ht="15" hidden="false" customHeight="false" outlineLevel="0" collapsed="false">
      <c r="A370" s="5" t="n">
        <v>366</v>
      </c>
      <c r="B370" s="4" t="s">
        <v>50</v>
      </c>
      <c r="C370" s="4" t="s">
        <v>724</v>
      </c>
      <c r="D370" s="4" t="s">
        <v>53</v>
      </c>
      <c r="E370" s="4" t="s">
        <v>54</v>
      </c>
      <c r="F370" s="5" t="s">
        <v>752</v>
      </c>
      <c r="G370" s="4"/>
      <c r="H370" s="5" t="s">
        <v>131</v>
      </c>
      <c r="I370" s="4" t="s">
        <v>763</v>
      </c>
      <c r="J370" s="4" t="s">
        <v>7</v>
      </c>
      <c r="K370" s="4" t="s">
        <v>764</v>
      </c>
      <c r="L370" s="4" t="s">
        <v>111</v>
      </c>
      <c r="M370" s="5" t="s">
        <v>112</v>
      </c>
    </row>
    <row r="371" customFormat="false" ht="15" hidden="false" customHeight="false" outlineLevel="0" collapsed="false">
      <c r="A371" s="5" t="n">
        <v>367</v>
      </c>
      <c r="B371" s="4" t="s">
        <v>50</v>
      </c>
      <c r="C371" s="4" t="s">
        <v>724</v>
      </c>
      <c r="D371" s="4" t="s">
        <v>53</v>
      </c>
      <c r="E371" s="4" t="s">
        <v>54</v>
      </c>
      <c r="F371" s="5" t="s">
        <v>752</v>
      </c>
      <c r="G371" s="4"/>
      <c r="H371" s="5" t="s">
        <v>134</v>
      </c>
      <c r="I371" s="4" t="s">
        <v>765</v>
      </c>
      <c r="J371" s="4" t="s">
        <v>162</v>
      </c>
      <c r="K371" s="4" t="s">
        <v>766</v>
      </c>
      <c r="L371" s="4" t="s">
        <v>164</v>
      </c>
      <c r="M371" s="5" t="s">
        <v>112</v>
      </c>
    </row>
    <row r="372" customFormat="false" ht="15" hidden="false" customHeight="false" outlineLevel="0" collapsed="false">
      <c r="A372" s="5" t="n">
        <v>368</v>
      </c>
      <c r="B372" s="4" t="s">
        <v>50</v>
      </c>
      <c r="C372" s="4" t="s">
        <v>724</v>
      </c>
      <c r="D372" s="4" t="s">
        <v>53</v>
      </c>
      <c r="E372" s="4" t="s">
        <v>54</v>
      </c>
      <c r="F372" s="5" t="s">
        <v>752</v>
      </c>
      <c r="G372" s="4"/>
      <c r="H372" s="5" t="s">
        <v>136</v>
      </c>
      <c r="I372" s="4" t="s">
        <v>767</v>
      </c>
      <c r="J372" s="4" t="s">
        <v>162</v>
      </c>
      <c r="K372" s="4" t="s">
        <v>768</v>
      </c>
      <c r="L372" s="4" t="s">
        <v>164</v>
      </c>
      <c r="M372" s="5" t="s">
        <v>112</v>
      </c>
    </row>
    <row r="373" customFormat="false" ht="15" hidden="false" customHeight="false" outlineLevel="0" collapsed="false">
      <c r="A373" s="5" t="n">
        <v>369</v>
      </c>
      <c r="B373" s="4" t="s">
        <v>50</v>
      </c>
      <c r="C373" s="4" t="s">
        <v>724</v>
      </c>
      <c r="D373" s="4" t="s">
        <v>53</v>
      </c>
      <c r="E373" s="4" t="s">
        <v>54</v>
      </c>
      <c r="F373" s="5" t="s">
        <v>752</v>
      </c>
      <c r="G373" s="4"/>
      <c r="H373" s="5" t="s">
        <v>139</v>
      </c>
      <c r="I373" s="4" t="s">
        <v>769</v>
      </c>
      <c r="J373" s="4" t="s">
        <v>162</v>
      </c>
      <c r="K373" s="4" t="s">
        <v>770</v>
      </c>
      <c r="L373" s="4" t="s">
        <v>368</v>
      </c>
      <c r="M373" s="5" t="s">
        <v>112</v>
      </c>
    </row>
    <row r="374" customFormat="false" ht="15" hidden="false" customHeight="false" outlineLevel="0" collapsed="false">
      <c r="A374" s="5" t="n">
        <v>370</v>
      </c>
      <c r="B374" s="4" t="s">
        <v>50</v>
      </c>
      <c r="C374" s="4" t="s">
        <v>724</v>
      </c>
      <c r="D374" s="4" t="s">
        <v>53</v>
      </c>
      <c r="E374" s="4" t="s">
        <v>54</v>
      </c>
      <c r="F374" s="5" t="s">
        <v>752</v>
      </c>
      <c r="G374" s="4"/>
      <c r="H374" s="5" t="s">
        <v>142</v>
      </c>
      <c r="I374" s="4" t="s">
        <v>771</v>
      </c>
      <c r="J374" s="4" t="s">
        <v>162</v>
      </c>
      <c r="K374" s="4" t="s">
        <v>772</v>
      </c>
      <c r="L374" s="4" t="s">
        <v>368</v>
      </c>
      <c r="M374" s="5" t="s">
        <v>112</v>
      </c>
    </row>
    <row r="375" customFormat="false" ht="15" hidden="false" customHeight="false" outlineLevel="0" collapsed="false">
      <c r="A375" s="5" t="n">
        <v>371</v>
      </c>
      <c r="B375" s="4" t="s">
        <v>50</v>
      </c>
      <c r="C375" s="4" t="s">
        <v>724</v>
      </c>
      <c r="D375" s="4" t="s">
        <v>53</v>
      </c>
      <c r="E375" s="4" t="s">
        <v>54</v>
      </c>
      <c r="F375" s="5" t="s">
        <v>752</v>
      </c>
      <c r="G375" s="4"/>
      <c r="H375" s="5" t="s">
        <v>144</v>
      </c>
      <c r="I375" s="4" t="s">
        <v>773</v>
      </c>
      <c r="J375" s="4" t="s">
        <v>162</v>
      </c>
      <c r="K375" s="4" t="s">
        <v>774</v>
      </c>
      <c r="L375" s="4" t="s">
        <v>368</v>
      </c>
      <c r="M375" s="5" t="s">
        <v>112</v>
      </c>
    </row>
    <row r="376" customFormat="false" ht="46.25" hidden="false" customHeight="false" outlineLevel="0" collapsed="false">
      <c r="A376" s="5" t="n">
        <v>372</v>
      </c>
      <c r="B376" s="4" t="s">
        <v>50</v>
      </c>
      <c r="C376" s="4" t="s">
        <v>724</v>
      </c>
      <c r="D376" s="4" t="s">
        <v>53</v>
      </c>
      <c r="E376" s="4" t="s">
        <v>54</v>
      </c>
      <c r="F376" s="5" t="s">
        <v>752</v>
      </c>
      <c r="G376" s="4"/>
      <c r="H376" s="5" t="s">
        <v>202</v>
      </c>
      <c r="I376" s="4" t="s">
        <v>775</v>
      </c>
      <c r="J376" s="4" t="s">
        <v>9</v>
      </c>
      <c r="K376" s="4" t="s">
        <v>776</v>
      </c>
      <c r="L376" s="4" t="s">
        <v>111</v>
      </c>
      <c r="M376" s="5" t="s">
        <v>205</v>
      </c>
    </row>
    <row r="377" customFormat="false" ht="35.05" hidden="false" customHeight="false" outlineLevel="0" collapsed="false">
      <c r="A377" s="5" t="n">
        <v>373</v>
      </c>
      <c r="B377" s="4" t="s">
        <v>50</v>
      </c>
      <c r="C377" s="4" t="s">
        <v>724</v>
      </c>
      <c r="D377" s="4" t="s">
        <v>53</v>
      </c>
      <c r="E377" s="4" t="s">
        <v>54</v>
      </c>
      <c r="F377" s="5" t="s">
        <v>752</v>
      </c>
      <c r="G377" s="4"/>
      <c r="H377" s="5" t="s">
        <v>206</v>
      </c>
      <c r="I377" s="4" t="s">
        <v>777</v>
      </c>
      <c r="J377" s="4" t="s">
        <v>9</v>
      </c>
      <c r="K377" s="4" t="s">
        <v>778</v>
      </c>
      <c r="L377" s="4" t="s">
        <v>111</v>
      </c>
      <c r="M377" s="5" t="s">
        <v>205</v>
      </c>
    </row>
    <row r="378" customFormat="false" ht="35.05" hidden="false" customHeight="false" outlineLevel="0" collapsed="false">
      <c r="A378" s="5" t="n">
        <v>374</v>
      </c>
      <c r="B378" s="4" t="s">
        <v>50</v>
      </c>
      <c r="C378" s="4" t="s">
        <v>724</v>
      </c>
      <c r="D378" s="4" t="s">
        <v>53</v>
      </c>
      <c r="E378" s="4" t="s">
        <v>54</v>
      </c>
      <c r="F378" s="5" t="s">
        <v>752</v>
      </c>
      <c r="G378" s="4"/>
      <c r="H378" s="5" t="s">
        <v>209</v>
      </c>
      <c r="I378" s="4" t="s">
        <v>779</v>
      </c>
      <c r="J378" s="4" t="s">
        <v>9</v>
      </c>
      <c r="K378" s="4" t="s">
        <v>780</v>
      </c>
      <c r="L378" s="4" t="s">
        <v>111</v>
      </c>
      <c r="M378" s="5" t="s">
        <v>205</v>
      </c>
    </row>
    <row r="379" customFormat="false" ht="46.25" hidden="false" customHeight="false" outlineLevel="0" collapsed="false">
      <c r="A379" s="5" t="n">
        <v>375</v>
      </c>
      <c r="B379" s="4" t="s">
        <v>50</v>
      </c>
      <c r="C379" s="4" t="s">
        <v>724</v>
      </c>
      <c r="D379" s="4" t="s">
        <v>53</v>
      </c>
      <c r="E379" s="4" t="s">
        <v>54</v>
      </c>
      <c r="F379" s="5" t="s">
        <v>752</v>
      </c>
      <c r="G379" s="4"/>
      <c r="H379" s="5" t="s">
        <v>212</v>
      </c>
      <c r="I379" s="4" t="s">
        <v>781</v>
      </c>
      <c r="J379" s="4" t="s">
        <v>9</v>
      </c>
      <c r="K379" s="4" t="s">
        <v>782</v>
      </c>
      <c r="L379" s="4" t="s">
        <v>111</v>
      </c>
      <c r="M379" s="5" t="s">
        <v>205</v>
      </c>
    </row>
    <row r="380" customFormat="false" ht="15" hidden="false" customHeight="false" outlineLevel="0" collapsed="false">
      <c r="A380" s="5" t="n">
        <v>376</v>
      </c>
      <c r="B380" s="4" t="s">
        <v>50</v>
      </c>
      <c r="C380" s="4" t="s">
        <v>724</v>
      </c>
      <c r="D380" s="4" t="s">
        <v>55</v>
      </c>
      <c r="E380" s="4" t="s">
        <v>56</v>
      </c>
      <c r="F380" s="5" t="s">
        <v>783</v>
      </c>
      <c r="G380" s="4"/>
      <c r="H380" s="5" t="s">
        <v>108</v>
      </c>
      <c r="I380" s="4" t="s">
        <v>784</v>
      </c>
      <c r="J380" s="4" t="s">
        <v>7</v>
      </c>
      <c r="K380" s="4" t="s">
        <v>764</v>
      </c>
      <c r="L380" s="4" t="s">
        <v>111</v>
      </c>
      <c r="M380" s="5" t="s">
        <v>112</v>
      </c>
    </row>
    <row r="381" customFormat="false" ht="15" hidden="false" customHeight="false" outlineLevel="0" collapsed="false">
      <c r="A381" s="5" t="n">
        <v>377</v>
      </c>
      <c r="B381" s="4" t="s">
        <v>50</v>
      </c>
      <c r="C381" s="4" t="s">
        <v>724</v>
      </c>
      <c r="D381" s="4" t="s">
        <v>55</v>
      </c>
      <c r="E381" s="4" t="s">
        <v>56</v>
      </c>
      <c r="F381" s="5" t="s">
        <v>783</v>
      </c>
      <c r="G381" s="4"/>
      <c r="H381" s="5" t="s">
        <v>113</v>
      </c>
      <c r="I381" s="4" t="s">
        <v>785</v>
      </c>
      <c r="J381" s="4" t="s">
        <v>7</v>
      </c>
      <c r="K381" s="4" t="s">
        <v>786</v>
      </c>
      <c r="L381" s="4" t="s">
        <v>111</v>
      </c>
      <c r="M381" s="5" t="s">
        <v>112</v>
      </c>
    </row>
    <row r="382" customFormat="false" ht="15" hidden="false" customHeight="false" outlineLevel="0" collapsed="false">
      <c r="A382" s="5" t="n">
        <v>378</v>
      </c>
      <c r="B382" s="4" t="s">
        <v>50</v>
      </c>
      <c r="C382" s="4" t="s">
        <v>724</v>
      </c>
      <c r="D382" s="4" t="s">
        <v>55</v>
      </c>
      <c r="E382" s="4" t="s">
        <v>56</v>
      </c>
      <c r="F382" s="5" t="s">
        <v>783</v>
      </c>
      <c r="G382" s="4"/>
      <c r="H382" s="5" t="s">
        <v>115</v>
      </c>
      <c r="I382" s="4" t="s">
        <v>787</v>
      </c>
      <c r="J382" s="4" t="s">
        <v>7</v>
      </c>
      <c r="K382" s="4" t="s">
        <v>786</v>
      </c>
      <c r="L382" s="4" t="s">
        <v>111</v>
      </c>
      <c r="M382" s="5" t="s">
        <v>112</v>
      </c>
    </row>
    <row r="383" customFormat="false" ht="15" hidden="false" customHeight="false" outlineLevel="0" collapsed="false">
      <c r="A383" s="5" t="n">
        <v>379</v>
      </c>
      <c r="B383" s="4" t="s">
        <v>50</v>
      </c>
      <c r="C383" s="4" t="s">
        <v>724</v>
      </c>
      <c r="D383" s="4" t="s">
        <v>55</v>
      </c>
      <c r="E383" s="4" t="s">
        <v>56</v>
      </c>
      <c r="F383" s="5" t="s">
        <v>783</v>
      </c>
      <c r="G383" s="4"/>
      <c r="H383" s="5" t="s">
        <v>118</v>
      </c>
      <c r="I383" s="4" t="s">
        <v>788</v>
      </c>
      <c r="J383" s="4" t="s">
        <v>7</v>
      </c>
      <c r="K383" s="4" t="s">
        <v>786</v>
      </c>
      <c r="L383" s="4" t="s">
        <v>111</v>
      </c>
      <c r="M383" s="5" t="s">
        <v>112</v>
      </c>
    </row>
    <row r="384" customFormat="false" ht="15" hidden="false" customHeight="false" outlineLevel="0" collapsed="false">
      <c r="A384" s="5" t="n">
        <v>380</v>
      </c>
      <c r="B384" s="4" t="s">
        <v>50</v>
      </c>
      <c r="C384" s="4" t="s">
        <v>724</v>
      </c>
      <c r="D384" s="4" t="s">
        <v>55</v>
      </c>
      <c r="E384" s="4" t="s">
        <v>56</v>
      </c>
      <c r="F384" s="5" t="s">
        <v>783</v>
      </c>
      <c r="G384" s="4"/>
      <c r="H384" s="5" t="s">
        <v>120</v>
      </c>
      <c r="I384" s="4" t="s">
        <v>789</v>
      </c>
      <c r="J384" s="4" t="s">
        <v>7</v>
      </c>
      <c r="K384" s="4" t="s">
        <v>786</v>
      </c>
      <c r="L384" s="4" t="s">
        <v>111</v>
      </c>
      <c r="M384" s="5" t="s">
        <v>112</v>
      </c>
    </row>
    <row r="385" customFormat="false" ht="15" hidden="false" customHeight="false" outlineLevel="0" collapsed="false">
      <c r="A385" s="5" t="n">
        <v>381</v>
      </c>
      <c r="B385" s="4" t="s">
        <v>50</v>
      </c>
      <c r="C385" s="4" t="s">
        <v>724</v>
      </c>
      <c r="D385" s="4" t="s">
        <v>55</v>
      </c>
      <c r="E385" s="4" t="s">
        <v>56</v>
      </c>
      <c r="F385" s="5" t="s">
        <v>783</v>
      </c>
      <c r="G385" s="4"/>
      <c r="H385" s="5" t="s">
        <v>122</v>
      </c>
      <c r="I385" s="4" t="s">
        <v>790</v>
      </c>
      <c r="J385" s="4" t="s">
        <v>7</v>
      </c>
      <c r="K385" s="4" t="s">
        <v>733</v>
      </c>
      <c r="L385" s="4" t="s">
        <v>111</v>
      </c>
      <c r="M385" s="5" t="s">
        <v>112</v>
      </c>
    </row>
    <row r="386" customFormat="false" ht="15" hidden="false" customHeight="false" outlineLevel="0" collapsed="false">
      <c r="A386" s="5" t="n">
        <v>382</v>
      </c>
      <c r="B386" s="4" t="s">
        <v>50</v>
      </c>
      <c r="C386" s="4" t="s">
        <v>724</v>
      </c>
      <c r="D386" s="4" t="s">
        <v>55</v>
      </c>
      <c r="E386" s="4" t="s">
        <v>56</v>
      </c>
      <c r="F386" s="5" t="s">
        <v>783</v>
      </c>
      <c r="G386" s="4"/>
      <c r="H386" s="5" t="s">
        <v>124</v>
      </c>
      <c r="I386" s="4" t="s">
        <v>791</v>
      </c>
      <c r="J386" s="4" t="s">
        <v>7</v>
      </c>
      <c r="K386" s="4" t="s">
        <v>786</v>
      </c>
      <c r="L386" s="4" t="s">
        <v>111</v>
      </c>
      <c r="M386" s="5" t="s">
        <v>112</v>
      </c>
    </row>
    <row r="387" customFormat="false" ht="15" hidden="false" customHeight="false" outlineLevel="0" collapsed="false">
      <c r="A387" s="5" t="n">
        <v>383</v>
      </c>
      <c r="B387" s="4" t="s">
        <v>50</v>
      </c>
      <c r="C387" s="4" t="s">
        <v>724</v>
      </c>
      <c r="D387" s="4" t="s">
        <v>55</v>
      </c>
      <c r="E387" s="4" t="s">
        <v>56</v>
      </c>
      <c r="F387" s="5" t="s">
        <v>783</v>
      </c>
      <c r="G387" s="4"/>
      <c r="H387" s="5" t="s">
        <v>126</v>
      </c>
      <c r="I387" s="4" t="s">
        <v>792</v>
      </c>
      <c r="J387" s="4" t="s">
        <v>162</v>
      </c>
      <c r="K387" s="4" t="s">
        <v>793</v>
      </c>
      <c r="L387" s="4" t="s">
        <v>164</v>
      </c>
      <c r="M387" s="5" t="s">
        <v>112</v>
      </c>
    </row>
    <row r="388" customFormat="false" ht="23.85" hidden="false" customHeight="false" outlineLevel="0" collapsed="false">
      <c r="A388" s="5" t="n">
        <v>384</v>
      </c>
      <c r="B388" s="4" t="s">
        <v>50</v>
      </c>
      <c r="C388" s="4" t="s">
        <v>724</v>
      </c>
      <c r="D388" s="4" t="s">
        <v>55</v>
      </c>
      <c r="E388" s="4" t="s">
        <v>56</v>
      </c>
      <c r="F388" s="5" t="s">
        <v>783</v>
      </c>
      <c r="G388" s="4"/>
      <c r="H388" s="5" t="s">
        <v>129</v>
      </c>
      <c r="I388" s="4" t="s">
        <v>794</v>
      </c>
      <c r="J388" s="4" t="s">
        <v>162</v>
      </c>
      <c r="K388" s="4" t="s">
        <v>795</v>
      </c>
      <c r="L388" s="4" t="s">
        <v>164</v>
      </c>
      <c r="M388" s="5" t="s">
        <v>112</v>
      </c>
    </row>
    <row r="389" customFormat="false" ht="15" hidden="false" customHeight="false" outlineLevel="0" collapsed="false">
      <c r="A389" s="5" t="n">
        <v>385</v>
      </c>
      <c r="B389" s="4" t="s">
        <v>50</v>
      </c>
      <c r="C389" s="4" t="s">
        <v>724</v>
      </c>
      <c r="D389" s="4" t="s">
        <v>55</v>
      </c>
      <c r="E389" s="4" t="s">
        <v>56</v>
      </c>
      <c r="F389" s="5" t="s">
        <v>783</v>
      </c>
      <c r="G389" s="4"/>
      <c r="H389" s="5" t="s">
        <v>131</v>
      </c>
      <c r="I389" s="4" t="s">
        <v>796</v>
      </c>
      <c r="J389" s="4" t="s">
        <v>162</v>
      </c>
      <c r="K389" s="4" t="s">
        <v>797</v>
      </c>
      <c r="L389" s="4" t="s">
        <v>368</v>
      </c>
      <c r="M389" s="5" t="s">
        <v>112</v>
      </c>
    </row>
    <row r="390" customFormat="false" ht="15" hidden="false" customHeight="false" outlineLevel="0" collapsed="false">
      <c r="A390" s="5" t="n">
        <v>386</v>
      </c>
      <c r="B390" s="4" t="s">
        <v>50</v>
      </c>
      <c r="C390" s="4" t="s">
        <v>724</v>
      </c>
      <c r="D390" s="4" t="s">
        <v>55</v>
      </c>
      <c r="E390" s="4" t="s">
        <v>56</v>
      </c>
      <c r="F390" s="5" t="s">
        <v>783</v>
      </c>
      <c r="G390" s="4"/>
      <c r="H390" s="5" t="s">
        <v>134</v>
      </c>
      <c r="I390" s="4" t="s">
        <v>798</v>
      </c>
      <c r="J390" s="4" t="s">
        <v>162</v>
      </c>
      <c r="K390" s="4" t="s">
        <v>799</v>
      </c>
      <c r="L390" s="4" t="s">
        <v>368</v>
      </c>
      <c r="M390" s="5" t="s">
        <v>112</v>
      </c>
    </row>
    <row r="391" customFormat="false" ht="35.05" hidden="false" customHeight="false" outlineLevel="0" collapsed="false">
      <c r="A391" s="5" t="n">
        <v>387</v>
      </c>
      <c r="B391" s="4" t="s">
        <v>50</v>
      </c>
      <c r="C391" s="4" t="s">
        <v>724</v>
      </c>
      <c r="D391" s="4" t="s">
        <v>55</v>
      </c>
      <c r="E391" s="4" t="s">
        <v>56</v>
      </c>
      <c r="F391" s="5" t="s">
        <v>783</v>
      </c>
      <c r="G391" s="4"/>
      <c r="H391" s="5" t="s">
        <v>202</v>
      </c>
      <c r="I391" s="4" t="s">
        <v>800</v>
      </c>
      <c r="J391" s="4" t="s">
        <v>9</v>
      </c>
      <c r="K391" s="4" t="s">
        <v>801</v>
      </c>
      <c r="L391" s="4" t="s">
        <v>111</v>
      </c>
      <c r="M391" s="5" t="s">
        <v>205</v>
      </c>
    </row>
    <row r="392" customFormat="false" ht="23.85" hidden="false" customHeight="false" outlineLevel="0" collapsed="false">
      <c r="A392" s="5" t="n">
        <v>388</v>
      </c>
      <c r="B392" s="4" t="s">
        <v>50</v>
      </c>
      <c r="C392" s="4" t="s">
        <v>724</v>
      </c>
      <c r="D392" s="4" t="s">
        <v>55</v>
      </c>
      <c r="E392" s="4" t="s">
        <v>56</v>
      </c>
      <c r="F392" s="5" t="s">
        <v>783</v>
      </c>
      <c r="G392" s="4"/>
      <c r="H392" s="5" t="s">
        <v>206</v>
      </c>
      <c r="I392" s="4" t="s">
        <v>802</v>
      </c>
      <c r="J392" s="4" t="s">
        <v>9</v>
      </c>
      <c r="K392" s="4" t="s">
        <v>803</v>
      </c>
      <c r="L392" s="4" t="s">
        <v>111</v>
      </c>
      <c r="M392" s="5" t="s">
        <v>205</v>
      </c>
    </row>
    <row r="393" customFormat="false" ht="23.85" hidden="false" customHeight="false" outlineLevel="0" collapsed="false">
      <c r="A393" s="5" t="n">
        <v>389</v>
      </c>
      <c r="B393" s="4" t="s">
        <v>50</v>
      </c>
      <c r="C393" s="4" t="s">
        <v>724</v>
      </c>
      <c r="D393" s="4" t="s">
        <v>55</v>
      </c>
      <c r="E393" s="4" t="s">
        <v>56</v>
      </c>
      <c r="F393" s="5" t="s">
        <v>783</v>
      </c>
      <c r="G393" s="4"/>
      <c r="H393" s="5" t="s">
        <v>209</v>
      </c>
      <c r="I393" s="4" t="s">
        <v>804</v>
      </c>
      <c r="J393" s="4" t="s">
        <v>9</v>
      </c>
      <c r="K393" s="4" t="s">
        <v>805</v>
      </c>
      <c r="L393" s="4" t="s">
        <v>111</v>
      </c>
      <c r="M393" s="5" t="s">
        <v>205</v>
      </c>
    </row>
    <row r="394" customFormat="false" ht="15" hidden="false" customHeight="false" outlineLevel="0" collapsed="false">
      <c r="A394" s="5" t="n">
        <v>390</v>
      </c>
      <c r="B394" s="4" t="s">
        <v>50</v>
      </c>
      <c r="C394" s="4" t="s">
        <v>724</v>
      </c>
      <c r="D394" s="4" t="s">
        <v>57</v>
      </c>
      <c r="E394" s="4" t="s">
        <v>58</v>
      </c>
      <c r="F394" s="5" t="s">
        <v>806</v>
      </c>
      <c r="G394" s="4"/>
      <c r="H394" s="5" t="s">
        <v>108</v>
      </c>
      <c r="I394" s="4" t="s">
        <v>807</v>
      </c>
      <c r="J394" s="4" t="s">
        <v>7</v>
      </c>
      <c r="K394" s="4" t="s">
        <v>808</v>
      </c>
      <c r="L394" s="4" t="s">
        <v>111</v>
      </c>
      <c r="M394" s="5" t="s">
        <v>112</v>
      </c>
    </row>
    <row r="395" customFormat="false" ht="15" hidden="false" customHeight="false" outlineLevel="0" collapsed="false">
      <c r="A395" s="5" t="n">
        <v>391</v>
      </c>
      <c r="B395" s="4" t="s">
        <v>50</v>
      </c>
      <c r="C395" s="4" t="s">
        <v>724</v>
      </c>
      <c r="D395" s="4" t="s">
        <v>57</v>
      </c>
      <c r="E395" s="4" t="s">
        <v>58</v>
      </c>
      <c r="F395" s="5" t="s">
        <v>806</v>
      </c>
      <c r="G395" s="4"/>
      <c r="H395" s="5" t="s">
        <v>113</v>
      </c>
      <c r="I395" s="4" t="s">
        <v>809</v>
      </c>
      <c r="J395" s="4" t="s">
        <v>7</v>
      </c>
      <c r="K395" s="4" t="s">
        <v>808</v>
      </c>
      <c r="L395" s="4" t="s">
        <v>111</v>
      </c>
      <c r="M395" s="5" t="s">
        <v>112</v>
      </c>
    </row>
    <row r="396" customFormat="false" ht="15" hidden="false" customHeight="false" outlineLevel="0" collapsed="false">
      <c r="A396" s="5" t="n">
        <v>392</v>
      </c>
      <c r="B396" s="4" t="s">
        <v>50</v>
      </c>
      <c r="C396" s="4" t="s">
        <v>724</v>
      </c>
      <c r="D396" s="4" t="s">
        <v>57</v>
      </c>
      <c r="E396" s="4" t="s">
        <v>58</v>
      </c>
      <c r="F396" s="5" t="s">
        <v>806</v>
      </c>
      <c r="G396" s="4"/>
      <c r="H396" s="5" t="s">
        <v>115</v>
      </c>
      <c r="I396" s="4" t="s">
        <v>810</v>
      </c>
      <c r="J396" s="4" t="s">
        <v>7</v>
      </c>
      <c r="K396" s="4" t="s">
        <v>811</v>
      </c>
      <c r="L396" s="4" t="s">
        <v>111</v>
      </c>
      <c r="M396" s="5" t="s">
        <v>112</v>
      </c>
    </row>
    <row r="397" customFormat="false" ht="15" hidden="false" customHeight="false" outlineLevel="0" collapsed="false">
      <c r="A397" s="5" t="n">
        <v>393</v>
      </c>
      <c r="B397" s="4" t="s">
        <v>50</v>
      </c>
      <c r="C397" s="4" t="s">
        <v>724</v>
      </c>
      <c r="D397" s="4" t="s">
        <v>57</v>
      </c>
      <c r="E397" s="4" t="s">
        <v>58</v>
      </c>
      <c r="F397" s="5" t="s">
        <v>806</v>
      </c>
      <c r="G397" s="4"/>
      <c r="H397" s="5" t="s">
        <v>118</v>
      </c>
      <c r="I397" s="4" t="s">
        <v>812</v>
      </c>
      <c r="J397" s="4" t="s">
        <v>7</v>
      </c>
      <c r="K397" s="4" t="s">
        <v>813</v>
      </c>
      <c r="L397" s="4" t="s">
        <v>111</v>
      </c>
      <c r="M397" s="5" t="s">
        <v>112</v>
      </c>
    </row>
    <row r="398" customFormat="false" ht="23.85" hidden="false" customHeight="false" outlineLevel="0" collapsed="false">
      <c r="A398" s="5" t="n">
        <v>394</v>
      </c>
      <c r="B398" s="4" t="s">
        <v>50</v>
      </c>
      <c r="C398" s="4" t="s">
        <v>724</v>
      </c>
      <c r="D398" s="4" t="s">
        <v>57</v>
      </c>
      <c r="E398" s="4" t="s">
        <v>58</v>
      </c>
      <c r="F398" s="5" t="s">
        <v>806</v>
      </c>
      <c r="G398" s="4"/>
      <c r="H398" s="5" t="s">
        <v>120</v>
      </c>
      <c r="I398" s="4" t="s">
        <v>814</v>
      </c>
      <c r="J398" s="4" t="s">
        <v>162</v>
      </c>
      <c r="K398" s="4" t="s">
        <v>815</v>
      </c>
      <c r="L398" s="4" t="s">
        <v>164</v>
      </c>
      <c r="M398" s="5" t="s">
        <v>112</v>
      </c>
    </row>
    <row r="399" customFormat="false" ht="46.25" hidden="false" customHeight="false" outlineLevel="0" collapsed="false">
      <c r="A399" s="5" t="n">
        <v>395</v>
      </c>
      <c r="B399" s="4" t="s">
        <v>50</v>
      </c>
      <c r="C399" s="4" t="s">
        <v>724</v>
      </c>
      <c r="D399" s="4" t="s">
        <v>57</v>
      </c>
      <c r="E399" s="4" t="s">
        <v>58</v>
      </c>
      <c r="F399" s="5" t="s">
        <v>806</v>
      </c>
      <c r="G399" s="4"/>
      <c r="H399" s="5" t="s">
        <v>202</v>
      </c>
      <c r="I399" s="4" t="s">
        <v>816</v>
      </c>
      <c r="J399" s="4" t="s">
        <v>9</v>
      </c>
      <c r="K399" s="4" t="s">
        <v>817</v>
      </c>
      <c r="L399" s="4" t="s">
        <v>111</v>
      </c>
      <c r="M399" s="5" t="s">
        <v>205</v>
      </c>
    </row>
    <row r="400" customFormat="false" ht="23.85" hidden="false" customHeight="false" outlineLevel="0" collapsed="false">
      <c r="A400" s="5" t="n">
        <v>396</v>
      </c>
      <c r="B400" s="4" t="s">
        <v>50</v>
      </c>
      <c r="C400" s="4" t="s">
        <v>724</v>
      </c>
      <c r="D400" s="4" t="s">
        <v>57</v>
      </c>
      <c r="E400" s="4" t="s">
        <v>58</v>
      </c>
      <c r="F400" s="5" t="s">
        <v>806</v>
      </c>
      <c r="G400" s="4"/>
      <c r="H400" s="5" t="s">
        <v>206</v>
      </c>
      <c r="I400" s="4" t="s">
        <v>818</v>
      </c>
      <c r="J400" s="4" t="s">
        <v>9</v>
      </c>
      <c r="K400" s="4" t="s">
        <v>819</v>
      </c>
      <c r="L400" s="4" t="s">
        <v>111</v>
      </c>
      <c r="M400" s="5" t="s">
        <v>205</v>
      </c>
    </row>
    <row r="401" customFormat="false" ht="23.85" hidden="false" customHeight="false" outlineLevel="0" collapsed="false">
      <c r="A401" s="5" t="n">
        <v>397</v>
      </c>
      <c r="B401" s="4" t="s">
        <v>50</v>
      </c>
      <c r="C401" s="4" t="s">
        <v>724</v>
      </c>
      <c r="D401" s="4" t="s">
        <v>57</v>
      </c>
      <c r="E401" s="4" t="s">
        <v>58</v>
      </c>
      <c r="F401" s="5" t="s">
        <v>806</v>
      </c>
      <c r="G401" s="4"/>
      <c r="H401" s="5" t="s">
        <v>209</v>
      </c>
      <c r="I401" s="4" t="s">
        <v>820</v>
      </c>
      <c r="J401" s="4" t="s">
        <v>9</v>
      </c>
      <c r="K401" s="4" t="s">
        <v>821</v>
      </c>
      <c r="L401" s="4" t="s">
        <v>111</v>
      </c>
      <c r="M401" s="5" t="s">
        <v>205</v>
      </c>
    </row>
    <row r="402" customFormat="false" ht="23.85" hidden="false" customHeight="false" outlineLevel="0" collapsed="false">
      <c r="A402" s="5" t="n">
        <v>398</v>
      </c>
      <c r="B402" s="4" t="s">
        <v>50</v>
      </c>
      <c r="C402" s="4" t="s">
        <v>724</v>
      </c>
      <c r="D402" s="4" t="s">
        <v>57</v>
      </c>
      <c r="E402" s="4" t="s">
        <v>58</v>
      </c>
      <c r="F402" s="5" t="s">
        <v>806</v>
      </c>
      <c r="G402" s="4"/>
      <c r="H402" s="5" t="s">
        <v>212</v>
      </c>
      <c r="I402" s="4" t="s">
        <v>822</v>
      </c>
      <c r="J402" s="4" t="s">
        <v>9</v>
      </c>
      <c r="K402" s="4" t="s">
        <v>823</v>
      </c>
      <c r="L402" s="4" t="s">
        <v>111</v>
      </c>
      <c r="M402" s="5" t="s">
        <v>205</v>
      </c>
    </row>
    <row r="403" customFormat="false" ht="23.85" hidden="false" customHeight="false" outlineLevel="0" collapsed="false">
      <c r="A403" s="5" t="n">
        <v>399</v>
      </c>
      <c r="B403" s="4" t="s">
        <v>50</v>
      </c>
      <c r="C403" s="4" t="s">
        <v>724</v>
      </c>
      <c r="D403" s="4" t="s">
        <v>57</v>
      </c>
      <c r="E403" s="4" t="s">
        <v>58</v>
      </c>
      <c r="F403" s="5" t="s">
        <v>806</v>
      </c>
      <c r="G403" s="4"/>
      <c r="H403" s="5" t="s">
        <v>215</v>
      </c>
      <c r="I403" s="4" t="s">
        <v>824</v>
      </c>
      <c r="J403" s="4" t="s">
        <v>9</v>
      </c>
      <c r="K403" s="4" t="s">
        <v>825</v>
      </c>
      <c r="L403" s="4" t="s">
        <v>111</v>
      </c>
      <c r="M403" s="5" t="s">
        <v>205</v>
      </c>
    </row>
    <row r="404" customFormat="false" ht="35.05" hidden="false" customHeight="false" outlineLevel="0" collapsed="false">
      <c r="A404" s="5" t="n">
        <v>400</v>
      </c>
      <c r="B404" s="4" t="s">
        <v>50</v>
      </c>
      <c r="C404" s="4" t="s">
        <v>724</v>
      </c>
      <c r="D404" s="4" t="s">
        <v>57</v>
      </c>
      <c r="E404" s="4" t="s">
        <v>58</v>
      </c>
      <c r="F404" s="5" t="s">
        <v>806</v>
      </c>
      <c r="G404" s="4"/>
      <c r="H404" s="5" t="s">
        <v>218</v>
      </c>
      <c r="I404" s="4" t="s">
        <v>826</v>
      </c>
      <c r="J404" s="4" t="s">
        <v>9</v>
      </c>
      <c r="K404" s="4" t="s">
        <v>827</v>
      </c>
      <c r="L404" s="4" t="s">
        <v>111</v>
      </c>
      <c r="M404" s="5" t="s">
        <v>205</v>
      </c>
    </row>
    <row r="405" customFormat="false" ht="23.85" hidden="false" customHeight="false" outlineLevel="0" collapsed="false">
      <c r="A405" s="5" t="n">
        <v>401</v>
      </c>
      <c r="B405" s="4" t="s">
        <v>50</v>
      </c>
      <c r="C405" s="4" t="s">
        <v>724</v>
      </c>
      <c r="D405" s="4" t="s">
        <v>59</v>
      </c>
      <c r="E405" s="4" t="s">
        <v>60</v>
      </c>
      <c r="F405" s="5" t="s">
        <v>828</v>
      </c>
      <c r="G405" s="4" t="s">
        <v>29</v>
      </c>
      <c r="H405" s="5" t="s">
        <v>108</v>
      </c>
      <c r="I405" s="4" t="s">
        <v>829</v>
      </c>
      <c r="J405" s="4" t="s">
        <v>162</v>
      </c>
      <c r="K405" s="4" t="s">
        <v>830</v>
      </c>
      <c r="L405" s="4" t="s">
        <v>164</v>
      </c>
      <c r="M405" s="5" t="s">
        <v>112</v>
      </c>
    </row>
    <row r="406" customFormat="false" ht="15" hidden="false" customHeight="false" outlineLevel="0" collapsed="false">
      <c r="A406" s="5" t="n">
        <v>402</v>
      </c>
      <c r="B406" s="4" t="s">
        <v>50</v>
      </c>
      <c r="C406" s="4" t="s">
        <v>724</v>
      </c>
      <c r="D406" s="4" t="s">
        <v>59</v>
      </c>
      <c r="E406" s="4" t="s">
        <v>60</v>
      </c>
      <c r="F406" s="5" t="s">
        <v>828</v>
      </c>
      <c r="G406" s="4" t="s">
        <v>29</v>
      </c>
      <c r="H406" s="5" t="s">
        <v>113</v>
      </c>
      <c r="I406" s="4" t="s">
        <v>831</v>
      </c>
      <c r="J406" s="4" t="s">
        <v>162</v>
      </c>
      <c r="K406" s="4" t="s">
        <v>832</v>
      </c>
      <c r="L406" s="4" t="s">
        <v>164</v>
      </c>
      <c r="M406" s="5" t="s">
        <v>112</v>
      </c>
    </row>
    <row r="407" customFormat="false" ht="15" hidden="false" customHeight="false" outlineLevel="0" collapsed="false">
      <c r="A407" s="5" t="n">
        <v>403</v>
      </c>
      <c r="B407" s="4" t="s">
        <v>50</v>
      </c>
      <c r="C407" s="4" t="s">
        <v>724</v>
      </c>
      <c r="D407" s="4" t="s">
        <v>59</v>
      </c>
      <c r="E407" s="4" t="s">
        <v>60</v>
      </c>
      <c r="F407" s="5" t="s">
        <v>828</v>
      </c>
      <c r="G407" s="4" t="s">
        <v>29</v>
      </c>
      <c r="H407" s="5" t="s">
        <v>115</v>
      </c>
      <c r="I407" s="4" t="s">
        <v>833</v>
      </c>
      <c r="J407" s="4" t="s">
        <v>162</v>
      </c>
      <c r="K407" s="4" t="s">
        <v>834</v>
      </c>
      <c r="L407" s="4" t="s">
        <v>164</v>
      </c>
      <c r="M407" s="5" t="s">
        <v>112</v>
      </c>
    </row>
    <row r="408" customFormat="false" ht="15" hidden="false" customHeight="false" outlineLevel="0" collapsed="false">
      <c r="A408" s="5" t="n">
        <v>404</v>
      </c>
      <c r="B408" s="4" t="s">
        <v>50</v>
      </c>
      <c r="C408" s="4" t="s">
        <v>724</v>
      </c>
      <c r="D408" s="4" t="s">
        <v>59</v>
      </c>
      <c r="E408" s="4" t="s">
        <v>60</v>
      </c>
      <c r="F408" s="5" t="s">
        <v>828</v>
      </c>
      <c r="G408" s="4" t="s">
        <v>29</v>
      </c>
      <c r="H408" s="5" t="s">
        <v>118</v>
      </c>
      <c r="I408" s="4" t="s">
        <v>835</v>
      </c>
      <c r="J408" s="4" t="s">
        <v>162</v>
      </c>
      <c r="K408" s="4" t="s">
        <v>836</v>
      </c>
      <c r="L408" s="4" t="s">
        <v>164</v>
      </c>
      <c r="M408" s="5" t="s">
        <v>112</v>
      </c>
    </row>
    <row r="409" customFormat="false" ht="15" hidden="false" customHeight="false" outlineLevel="0" collapsed="false">
      <c r="A409" s="5" t="n">
        <v>405</v>
      </c>
      <c r="B409" s="4" t="s">
        <v>50</v>
      </c>
      <c r="C409" s="4" t="s">
        <v>724</v>
      </c>
      <c r="D409" s="4" t="s">
        <v>59</v>
      </c>
      <c r="E409" s="4" t="s">
        <v>60</v>
      </c>
      <c r="F409" s="5" t="s">
        <v>828</v>
      </c>
      <c r="G409" s="4" t="s">
        <v>29</v>
      </c>
      <c r="H409" s="5" t="s">
        <v>120</v>
      </c>
      <c r="I409" s="4" t="s">
        <v>837</v>
      </c>
      <c r="J409" s="4" t="s">
        <v>162</v>
      </c>
      <c r="K409" s="4" t="s">
        <v>838</v>
      </c>
      <c r="L409" s="4" t="s">
        <v>368</v>
      </c>
      <c r="M409" s="5" t="s">
        <v>112</v>
      </c>
    </row>
    <row r="410" customFormat="false" ht="15" hidden="false" customHeight="false" outlineLevel="0" collapsed="false">
      <c r="A410" s="5" t="n">
        <v>406</v>
      </c>
      <c r="B410" s="4" t="s">
        <v>50</v>
      </c>
      <c r="C410" s="4" t="s">
        <v>724</v>
      </c>
      <c r="D410" s="4" t="s">
        <v>59</v>
      </c>
      <c r="E410" s="4" t="s">
        <v>60</v>
      </c>
      <c r="F410" s="5" t="s">
        <v>828</v>
      </c>
      <c r="G410" s="4" t="s">
        <v>29</v>
      </c>
      <c r="H410" s="5" t="s">
        <v>122</v>
      </c>
      <c r="I410" s="4" t="s">
        <v>839</v>
      </c>
      <c r="J410" s="4" t="s">
        <v>162</v>
      </c>
      <c r="K410" s="4" t="s">
        <v>840</v>
      </c>
      <c r="L410" s="4" t="s">
        <v>368</v>
      </c>
      <c r="M410" s="5" t="s">
        <v>112</v>
      </c>
    </row>
    <row r="411" customFormat="false" ht="15" hidden="false" customHeight="false" outlineLevel="0" collapsed="false">
      <c r="A411" s="5" t="n">
        <v>407</v>
      </c>
      <c r="B411" s="4" t="s">
        <v>50</v>
      </c>
      <c r="C411" s="4" t="s">
        <v>724</v>
      </c>
      <c r="D411" s="4" t="s">
        <v>59</v>
      </c>
      <c r="E411" s="4" t="s">
        <v>60</v>
      </c>
      <c r="F411" s="5" t="s">
        <v>828</v>
      </c>
      <c r="G411" s="4" t="s">
        <v>29</v>
      </c>
      <c r="H411" s="5" t="s">
        <v>124</v>
      </c>
      <c r="I411" s="4" t="s">
        <v>841</v>
      </c>
      <c r="J411" s="4" t="s">
        <v>162</v>
      </c>
      <c r="K411" s="4" t="s">
        <v>842</v>
      </c>
      <c r="L411" s="4" t="s">
        <v>368</v>
      </c>
      <c r="M411" s="5" t="s">
        <v>112</v>
      </c>
    </row>
    <row r="412" customFormat="false" ht="15" hidden="false" customHeight="false" outlineLevel="0" collapsed="false">
      <c r="A412" s="5" t="n">
        <v>408</v>
      </c>
      <c r="B412" s="4" t="s">
        <v>50</v>
      </c>
      <c r="C412" s="4" t="s">
        <v>724</v>
      </c>
      <c r="D412" s="4" t="s">
        <v>61</v>
      </c>
      <c r="E412" s="4" t="s">
        <v>62</v>
      </c>
      <c r="F412" s="5" t="s">
        <v>843</v>
      </c>
      <c r="G412" s="4"/>
      <c r="H412" s="5" t="s">
        <v>108</v>
      </c>
      <c r="I412" s="4" t="s">
        <v>844</v>
      </c>
      <c r="J412" s="4" t="s">
        <v>7</v>
      </c>
      <c r="K412" s="4" t="s">
        <v>813</v>
      </c>
      <c r="L412" s="4" t="s">
        <v>111</v>
      </c>
      <c r="M412" s="5" t="s">
        <v>112</v>
      </c>
    </row>
    <row r="413" customFormat="false" ht="15" hidden="false" customHeight="false" outlineLevel="0" collapsed="false">
      <c r="A413" s="5" t="n">
        <v>409</v>
      </c>
      <c r="B413" s="4" t="s">
        <v>50</v>
      </c>
      <c r="C413" s="4" t="s">
        <v>724</v>
      </c>
      <c r="D413" s="4" t="s">
        <v>61</v>
      </c>
      <c r="E413" s="4" t="s">
        <v>62</v>
      </c>
      <c r="F413" s="5" t="s">
        <v>843</v>
      </c>
      <c r="G413" s="4"/>
      <c r="H413" s="5" t="s">
        <v>113</v>
      </c>
      <c r="I413" s="4" t="s">
        <v>845</v>
      </c>
      <c r="J413" s="4" t="s">
        <v>7</v>
      </c>
      <c r="K413" s="4" t="s">
        <v>846</v>
      </c>
      <c r="L413" s="4" t="s">
        <v>111</v>
      </c>
      <c r="M413" s="5" t="s">
        <v>112</v>
      </c>
    </row>
    <row r="414" customFormat="false" ht="15" hidden="false" customHeight="false" outlineLevel="0" collapsed="false">
      <c r="A414" s="5" t="n">
        <v>410</v>
      </c>
      <c r="B414" s="4" t="s">
        <v>50</v>
      </c>
      <c r="C414" s="4" t="s">
        <v>724</v>
      </c>
      <c r="D414" s="4" t="s">
        <v>61</v>
      </c>
      <c r="E414" s="4" t="s">
        <v>62</v>
      </c>
      <c r="F414" s="5" t="s">
        <v>843</v>
      </c>
      <c r="G414" s="4"/>
      <c r="H414" s="5" t="s">
        <v>115</v>
      </c>
      <c r="I414" s="4" t="s">
        <v>847</v>
      </c>
      <c r="J414" s="4" t="s">
        <v>7</v>
      </c>
      <c r="K414" s="4" t="s">
        <v>846</v>
      </c>
      <c r="L414" s="4" t="s">
        <v>111</v>
      </c>
      <c r="M414" s="5" t="s">
        <v>112</v>
      </c>
    </row>
    <row r="415" customFormat="false" ht="15" hidden="false" customHeight="false" outlineLevel="0" collapsed="false">
      <c r="A415" s="5" t="n">
        <v>411</v>
      </c>
      <c r="B415" s="4" t="s">
        <v>50</v>
      </c>
      <c r="C415" s="4" t="s">
        <v>724</v>
      </c>
      <c r="D415" s="4" t="s">
        <v>61</v>
      </c>
      <c r="E415" s="4" t="s">
        <v>62</v>
      </c>
      <c r="F415" s="5" t="s">
        <v>843</v>
      </c>
      <c r="G415" s="4"/>
      <c r="H415" s="5" t="s">
        <v>118</v>
      </c>
      <c r="I415" s="4" t="s">
        <v>848</v>
      </c>
      <c r="J415" s="4" t="s">
        <v>7</v>
      </c>
      <c r="K415" s="4" t="s">
        <v>846</v>
      </c>
      <c r="L415" s="4" t="s">
        <v>111</v>
      </c>
      <c r="M415" s="5" t="s">
        <v>112</v>
      </c>
    </row>
    <row r="416" customFormat="false" ht="15" hidden="false" customHeight="false" outlineLevel="0" collapsed="false">
      <c r="A416" s="5" t="n">
        <v>412</v>
      </c>
      <c r="B416" s="4" t="s">
        <v>50</v>
      </c>
      <c r="C416" s="4" t="s">
        <v>724</v>
      </c>
      <c r="D416" s="4" t="s">
        <v>61</v>
      </c>
      <c r="E416" s="4" t="s">
        <v>62</v>
      </c>
      <c r="F416" s="5" t="s">
        <v>843</v>
      </c>
      <c r="G416" s="4"/>
      <c r="H416" s="5" t="s">
        <v>120</v>
      </c>
      <c r="I416" s="4" t="s">
        <v>849</v>
      </c>
      <c r="J416" s="4" t="s">
        <v>7</v>
      </c>
      <c r="K416" s="4" t="s">
        <v>846</v>
      </c>
      <c r="L416" s="4" t="s">
        <v>111</v>
      </c>
      <c r="M416" s="5" t="s">
        <v>112</v>
      </c>
    </row>
    <row r="417" customFormat="false" ht="15" hidden="false" customHeight="false" outlineLevel="0" collapsed="false">
      <c r="A417" s="5" t="n">
        <v>413</v>
      </c>
      <c r="B417" s="4" t="s">
        <v>50</v>
      </c>
      <c r="C417" s="4" t="s">
        <v>724</v>
      </c>
      <c r="D417" s="4" t="s">
        <v>61</v>
      </c>
      <c r="E417" s="4" t="s">
        <v>62</v>
      </c>
      <c r="F417" s="5" t="s">
        <v>843</v>
      </c>
      <c r="G417" s="4"/>
      <c r="H417" s="5" t="s">
        <v>122</v>
      </c>
      <c r="I417" s="4" t="s">
        <v>850</v>
      </c>
      <c r="J417" s="4" t="s">
        <v>7</v>
      </c>
      <c r="K417" s="4" t="s">
        <v>846</v>
      </c>
      <c r="L417" s="4" t="s">
        <v>111</v>
      </c>
      <c r="M417" s="5" t="s">
        <v>112</v>
      </c>
    </row>
    <row r="418" customFormat="false" ht="15" hidden="false" customHeight="false" outlineLevel="0" collapsed="false">
      <c r="A418" s="5" t="n">
        <v>414</v>
      </c>
      <c r="B418" s="4" t="s">
        <v>50</v>
      </c>
      <c r="C418" s="4" t="s">
        <v>724</v>
      </c>
      <c r="D418" s="4" t="s">
        <v>61</v>
      </c>
      <c r="E418" s="4" t="s">
        <v>62</v>
      </c>
      <c r="F418" s="5" t="s">
        <v>843</v>
      </c>
      <c r="G418" s="4"/>
      <c r="H418" s="5" t="s">
        <v>124</v>
      </c>
      <c r="I418" s="4" t="s">
        <v>851</v>
      </c>
      <c r="J418" s="4" t="s">
        <v>7</v>
      </c>
      <c r="K418" s="4" t="s">
        <v>846</v>
      </c>
      <c r="L418" s="4" t="s">
        <v>111</v>
      </c>
      <c r="M418" s="5" t="s">
        <v>112</v>
      </c>
    </row>
    <row r="419" customFormat="false" ht="15" hidden="false" customHeight="false" outlineLevel="0" collapsed="false">
      <c r="A419" s="5" t="n">
        <v>415</v>
      </c>
      <c r="B419" s="4" t="s">
        <v>50</v>
      </c>
      <c r="C419" s="4" t="s">
        <v>724</v>
      </c>
      <c r="D419" s="4" t="s">
        <v>61</v>
      </c>
      <c r="E419" s="4" t="s">
        <v>62</v>
      </c>
      <c r="F419" s="5" t="s">
        <v>843</v>
      </c>
      <c r="G419" s="4"/>
      <c r="H419" s="5" t="s">
        <v>126</v>
      </c>
      <c r="I419" s="4" t="s">
        <v>852</v>
      </c>
      <c r="J419" s="4" t="s">
        <v>7</v>
      </c>
      <c r="K419" s="4" t="s">
        <v>846</v>
      </c>
      <c r="L419" s="4" t="s">
        <v>111</v>
      </c>
      <c r="M419" s="5" t="s">
        <v>112</v>
      </c>
    </row>
    <row r="420" customFormat="false" ht="15" hidden="false" customHeight="false" outlineLevel="0" collapsed="false">
      <c r="A420" s="5" t="n">
        <v>416</v>
      </c>
      <c r="B420" s="4" t="s">
        <v>50</v>
      </c>
      <c r="C420" s="4" t="s">
        <v>724</v>
      </c>
      <c r="D420" s="4" t="s">
        <v>61</v>
      </c>
      <c r="E420" s="4" t="s">
        <v>62</v>
      </c>
      <c r="F420" s="5" t="s">
        <v>843</v>
      </c>
      <c r="G420" s="4"/>
      <c r="H420" s="5" t="s">
        <v>129</v>
      </c>
      <c r="I420" s="4" t="s">
        <v>853</v>
      </c>
      <c r="J420" s="4" t="s">
        <v>7</v>
      </c>
      <c r="K420" s="4" t="s">
        <v>846</v>
      </c>
      <c r="L420" s="4" t="s">
        <v>111</v>
      </c>
      <c r="M420" s="5" t="s">
        <v>112</v>
      </c>
    </row>
    <row r="421" customFormat="false" ht="15" hidden="false" customHeight="false" outlineLevel="0" collapsed="false">
      <c r="A421" s="5" t="n">
        <v>417</v>
      </c>
      <c r="B421" s="4" t="s">
        <v>50</v>
      </c>
      <c r="C421" s="4" t="s">
        <v>724</v>
      </c>
      <c r="D421" s="4" t="s">
        <v>61</v>
      </c>
      <c r="E421" s="4" t="s">
        <v>62</v>
      </c>
      <c r="F421" s="5" t="s">
        <v>843</v>
      </c>
      <c r="G421" s="4"/>
      <c r="H421" s="5" t="s">
        <v>131</v>
      </c>
      <c r="I421" s="4" t="s">
        <v>854</v>
      </c>
      <c r="J421" s="4" t="s">
        <v>162</v>
      </c>
      <c r="K421" s="4" t="s">
        <v>855</v>
      </c>
      <c r="L421" s="4" t="s">
        <v>368</v>
      </c>
      <c r="M421" s="5" t="s">
        <v>112</v>
      </c>
    </row>
    <row r="422" customFormat="false" ht="35.05" hidden="false" customHeight="false" outlineLevel="0" collapsed="false">
      <c r="A422" s="5" t="n">
        <v>418</v>
      </c>
      <c r="B422" s="4" t="s">
        <v>50</v>
      </c>
      <c r="C422" s="4" t="s">
        <v>724</v>
      </c>
      <c r="D422" s="4" t="s">
        <v>61</v>
      </c>
      <c r="E422" s="4" t="s">
        <v>62</v>
      </c>
      <c r="F422" s="5" t="s">
        <v>843</v>
      </c>
      <c r="G422" s="4"/>
      <c r="H422" s="5" t="s">
        <v>202</v>
      </c>
      <c r="I422" s="4" t="s">
        <v>856</v>
      </c>
      <c r="J422" s="4" t="s">
        <v>9</v>
      </c>
      <c r="K422" s="4" t="s">
        <v>857</v>
      </c>
      <c r="L422" s="4" t="s">
        <v>111</v>
      </c>
      <c r="M422" s="5" t="s">
        <v>205</v>
      </c>
    </row>
    <row r="423" customFormat="false" ht="23.85" hidden="false" customHeight="false" outlineLevel="0" collapsed="false">
      <c r="A423" s="5" t="n">
        <v>419</v>
      </c>
      <c r="B423" s="4" t="s">
        <v>50</v>
      </c>
      <c r="C423" s="4" t="s">
        <v>724</v>
      </c>
      <c r="D423" s="4" t="s">
        <v>61</v>
      </c>
      <c r="E423" s="4" t="s">
        <v>62</v>
      </c>
      <c r="F423" s="5" t="s">
        <v>843</v>
      </c>
      <c r="G423" s="4"/>
      <c r="H423" s="5" t="s">
        <v>206</v>
      </c>
      <c r="I423" s="4" t="s">
        <v>858</v>
      </c>
      <c r="J423" s="4" t="s">
        <v>9</v>
      </c>
      <c r="K423" s="4" t="s">
        <v>859</v>
      </c>
      <c r="L423" s="4" t="s">
        <v>111</v>
      </c>
      <c r="M423" s="5" t="s">
        <v>205</v>
      </c>
    </row>
    <row r="424" customFormat="false" ht="35.05" hidden="false" customHeight="false" outlineLevel="0" collapsed="false">
      <c r="A424" s="5" t="n">
        <v>420</v>
      </c>
      <c r="B424" s="4" t="s">
        <v>50</v>
      </c>
      <c r="C424" s="4" t="s">
        <v>724</v>
      </c>
      <c r="D424" s="4" t="s">
        <v>61</v>
      </c>
      <c r="E424" s="4" t="s">
        <v>62</v>
      </c>
      <c r="F424" s="5" t="s">
        <v>843</v>
      </c>
      <c r="G424" s="4"/>
      <c r="H424" s="5" t="s">
        <v>209</v>
      </c>
      <c r="I424" s="4" t="s">
        <v>860</v>
      </c>
      <c r="J424" s="4" t="s">
        <v>9</v>
      </c>
      <c r="K424" s="4" t="s">
        <v>861</v>
      </c>
      <c r="L424" s="4" t="s">
        <v>111</v>
      </c>
      <c r="M424" s="5" t="s">
        <v>205</v>
      </c>
    </row>
    <row r="425" customFormat="false" ht="23.85" hidden="false" customHeight="false" outlineLevel="0" collapsed="false">
      <c r="A425" s="5" t="n">
        <v>421</v>
      </c>
      <c r="B425" s="4" t="s">
        <v>50</v>
      </c>
      <c r="C425" s="4" t="s">
        <v>724</v>
      </c>
      <c r="D425" s="4" t="s">
        <v>61</v>
      </c>
      <c r="E425" s="4" t="s">
        <v>62</v>
      </c>
      <c r="F425" s="5" t="s">
        <v>843</v>
      </c>
      <c r="G425" s="4"/>
      <c r="H425" s="5" t="s">
        <v>212</v>
      </c>
      <c r="I425" s="4" t="s">
        <v>862</v>
      </c>
      <c r="J425" s="4" t="s">
        <v>9</v>
      </c>
      <c r="K425" s="4" t="s">
        <v>863</v>
      </c>
      <c r="L425" s="4" t="s">
        <v>111</v>
      </c>
      <c r="M425" s="5" t="s">
        <v>205</v>
      </c>
    </row>
    <row r="426" customFormat="false" ht="35.05" hidden="false" customHeight="false" outlineLevel="0" collapsed="false">
      <c r="A426" s="5" t="n">
        <v>422</v>
      </c>
      <c r="B426" s="4" t="s">
        <v>50</v>
      </c>
      <c r="C426" s="4" t="s">
        <v>724</v>
      </c>
      <c r="D426" s="4" t="s">
        <v>61</v>
      </c>
      <c r="E426" s="4" t="s">
        <v>62</v>
      </c>
      <c r="F426" s="5" t="s">
        <v>843</v>
      </c>
      <c r="G426" s="4"/>
      <c r="H426" s="5" t="s">
        <v>215</v>
      </c>
      <c r="I426" s="4" t="s">
        <v>864</v>
      </c>
      <c r="J426" s="4" t="s">
        <v>9</v>
      </c>
      <c r="K426" s="4" t="s">
        <v>865</v>
      </c>
      <c r="L426" s="4" t="s">
        <v>111</v>
      </c>
      <c r="M426" s="5" t="s">
        <v>205</v>
      </c>
    </row>
    <row r="427" customFormat="false" ht="23.85" hidden="false" customHeight="false" outlineLevel="0" collapsed="false">
      <c r="A427" s="5" t="n">
        <v>423</v>
      </c>
      <c r="B427" s="4" t="s">
        <v>50</v>
      </c>
      <c r="C427" s="4" t="s">
        <v>724</v>
      </c>
      <c r="D427" s="4" t="s">
        <v>61</v>
      </c>
      <c r="E427" s="4" t="s">
        <v>62</v>
      </c>
      <c r="F427" s="5" t="s">
        <v>843</v>
      </c>
      <c r="G427" s="4"/>
      <c r="H427" s="5" t="s">
        <v>218</v>
      </c>
      <c r="I427" s="4" t="s">
        <v>866</v>
      </c>
      <c r="J427" s="4" t="s">
        <v>9</v>
      </c>
      <c r="K427" s="4" t="s">
        <v>867</v>
      </c>
      <c r="L427" s="4" t="s">
        <v>111</v>
      </c>
      <c r="M427" s="5" t="s">
        <v>205</v>
      </c>
    </row>
    <row r="428" customFormat="false" ht="23.85" hidden="false" customHeight="false" outlineLevel="0" collapsed="false">
      <c r="A428" s="5" t="n">
        <v>424</v>
      </c>
      <c r="B428" s="4" t="s">
        <v>50</v>
      </c>
      <c r="C428" s="4" t="s">
        <v>724</v>
      </c>
      <c r="D428" s="4" t="s">
        <v>61</v>
      </c>
      <c r="E428" s="4" t="s">
        <v>62</v>
      </c>
      <c r="F428" s="5" t="s">
        <v>843</v>
      </c>
      <c r="G428" s="4"/>
      <c r="H428" s="5" t="s">
        <v>221</v>
      </c>
      <c r="I428" s="4" t="s">
        <v>868</v>
      </c>
      <c r="J428" s="4" t="s">
        <v>9</v>
      </c>
      <c r="K428" s="4" t="s">
        <v>869</v>
      </c>
      <c r="L428" s="4" t="s">
        <v>111</v>
      </c>
      <c r="M428" s="5" t="s">
        <v>205</v>
      </c>
    </row>
    <row r="429" customFormat="false" ht="23.85" hidden="false" customHeight="false" outlineLevel="0" collapsed="false">
      <c r="A429" s="5" t="n">
        <v>425</v>
      </c>
      <c r="B429" s="4" t="s">
        <v>50</v>
      </c>
      <c r="C429" s="4" t="s">
        <v>724</v>
      </c>
      <c r="D429" s="4" t="s">
        <v>61</v>
      </c>
      <c r="E429" s="4" t="s">
        <v>62</v>
      </c>
      <c r="F429" s="5" t="s">
        <v>843</v>
      </c>
      <c r="G429" s="4"/>
      <c r="H429" s="5" t="s">
        <v>490</v>
      </c>
      <c r="I429" s="4" t="s">
        <v>870</v>
      </c>
      <c r="J429" s="4" t="s">
        <v>9</v>
      </c>
      <c r="K429" s="4" t="s">
        <v>871</v>
      </c>
      <c r="L429" s="4" t="s">
        <v>111</v>
      </c>
      <c r="M429" s="5" t="s">
        <v>205</v>
      </c>
    </row>
    <row r="430" customFormat="false" ht="15" hidden="false" customHeight="false" outlineLevel="0" collapsed="false">
      <c r="A430" s="5" t="n">
        <v>426</v>
      </c>
      <c r="B430" s="4" t="s">
        <v>65</v>
      </c>
      <c r="C430" s="4" t="s">
        <v>872</v>
      </c>
      <c r="D430" s="4" t="s">
        <v>66</v>
      </c>
      <c r="E430" s="4" t="s">
        <v>67</v>
      </c>
      <c r="F430" s="5" t="s">
        <v>873</v>
      </c>
      <c r="G430" s="4"/>
      <c r="H430" s="5" t="s">
        <v>108</v>
      </c>
      <c r="I430" s="4" t="s">
        <v>874</v>
      </c>
      <c r="J430" s="4" t="s">
        <v>7</v>
      </c>
      <c r="K430" s="4" t="s">
        <v>813</v>
      </c>
      <c r="L430" s="4" t="s">
        <v>111</v>
      </c>
      <c r="M430" s="5" t="s">
        <v>112</v>
      </c>
    </row>
    <row r="431" customFormat="false" ht="15" hidden="false" customHeight="false" outlineLevel="0" collapsed="false">
      <c r="A431" s="5" t="n">
        <v>427</v>
      </c>
      <c r="B431" s="4" t="s">
        <v>65</v>
      </c>
      <c r="C431" s="4" t="s">
        <v>872</v>
      </c>
      <c r="D431" s="4" t="s">
        <v>66</v>
      </c>
      <c r="E431" s="4" t="s">
        <v>67</v>
      </c>
      <c r="F431" s="5" t="s">
        <v>873</v>
      </c>
      <c r="G431" s="4"/>
      <c r="H431" s="5" t="s">
        <v>113</v>
      </c>
      <c r="I431" s="4" t="s">
        <v>875</v>
      </c>
      <c r="J431" s="4" t="s">
        <v>7</v>
      </c>
      <c r="K431" s="4" t="s">
        <v>813</v>
      </c>
      <c r="L431" s="4" t="s">
        <v>111</v>
      </c>
      <c r="M431" s="5" t="s">
        <v>112</v>
      </c>
    </row>
    <row r="432" customFormat="false" ht="15" hidden="false" customHeight="false" outlineLevel="0" collapsed="false">
      <c r="A432" s="5" t="n">
        <v>428</v>
      </c>
      <c r="B432" s="4" t="s">
        <v>65</v>
      </c>
      <c r="C432" s="4" t="s">
        <v>872</v>
      </c>
      <c r="D432" s="4" t="s">
        <v>66</v>
      </c>
      <c r="E432" s="4" t="s">
        <v>67</v>
      </c>
      <c r="F432" s="5" t="s">
        <v>873</v>
      </c>
      <c r="G432" s="4"/>
      <c r="H432" s="5" t="s">
        <v>115</v>
      </c>
      <c r="I432" s="4" t="s">
        <v>876</v>
      </c>
      <c r="J432" s="4" t="s">
        <v>7</v>
      </c>
      <c r="K432" s="4" t="s">
        <v>813</v>
      </c>
      <c r="L432" s="4" t="s">
        <v>111</v>
      </c>
      <c r="M432" s="5" t="s">
        <v>112</v>
      </c>
    </row>
    <row r="433" customFormat="false" ht="23.85" hidden="false" customHeight="false" outlineLevel="0" collapsed="false">
      <c r="A433" s="5" t="n">
        <v>429</v>
      </c>
      <c r="B433" s="4" t="s">
        <v>65</v>
      </c>
      <c r="C433" s="4" t="s">
        <v>872</v>
      </c>
      <c r="D433" s="4" t="s">
        <v>66</v>
      </c>
      <c r="E433" s="4" t="s">
        <v>67</v>
      </c>
      <c r="F433" s="5" t="s">
        <v>873</v>
      </c>
      <c r="G433" s="4"/>
      <c r="H433" s="5" t="s">
        <v>118</v>
      </c>
      <c r="I433" s="4" t="s">
        <v>877</v>
      </c>
      <c r="J433" s="4" t="s">
        <v>7</v>
      </c>
      <c r="K433" s="4" t="s">
        <v>878</v>
      </c>
      <c r="L433" s="4" t="s">
        <v>111</v>
      </c>
      <c r="M433" s="5" t="s">
        <v>112</v>
      </c>
    </row>
    <row r="434" customFormat="false" ht="15" hidden="false" customHeight="false" outlineLevel="0" collapsed="false">
      <c r="A434" s="5" t="n">
        <v>430</v>
      </c>
      <c r="B434" s="4" t="s">
        <v>65</v>
      </c>
      <c r="C434" s="4" t="s">
        <v>872</v>
      </c>
      <c r="D434" s="4" t="s">
        <v>66</v>
      </c>
      <c r="E434" s="4" t="s">
        <v>67</v>
      </c>
      <c r="F434" s="5" t="s">
        <v>873</v>
      </c>
      <c r="G434" s="4"/>
      <c r="H434" s="5" t="s">
        <v>120</v>
      </c>
      <c r="I434" s="4" t="s">
        <v>879</v>
      </c>
      <c r="J434" s="4" t="s">
        <v>7</v>
      </c>
      <c r="K434" s="4" t="s">
        <v>878</v>
      </c>
      <c r="L434" s="4" t="s">
        <v>111</v>
      </c>
      <c r="M434" s="5" t="s">
        <v>112</v>
      </c>
    </row>
    <row r="435" customFormat="false" ht="15" hidden="false" customHeight="false" outlineLevel="0" collapsed="false">
      <c r="A435" s="5" t="n">
        <v>431</v>
      </c>
      <c r="B435" s="4" t="s">
        <v>65</v>
      </c>
      <c r="C435" s="4" t="s">
        <v>872</v>
      </c>
      <c r="D435" s="4" t="s">
        <v>66</v>
      </c>
      <c r="E435" s="4" t="s">
        <v>67</v>
      </c>
      <c r="F435" s="5" t="s">
        <v>873</v>
      </c>
      <c r="G435" s="4"/>
      <c r="H435" s="5" t="s">
        <v>122</v>
      </c>
      <c r="I435" s="4" t="s">
        <v>880</v>
      </c>
      <c r="J435" s="4" t="s">
        <v>7</v>
      </c>
      <c r="K435" s="4" t="s">
        <v>878</v>
      </c>
      <c r="L435" s="4" t="s">
        <v>111</v>
      </c>
      <c r="M435" s="5" t="s">
        <v>112</v>
      </c>
    </row>
    <row r="436" customFormat="false" ht="15" hidden="false" customHeight="false" outlineLevel="0" collapsed="false">
      <c r="A436" s="5" t="n">
        <v>432</v>
      </c>
      <c r="B436" s="4" t="s">
        <v>65</v>
      </c>
      <c r="C436" s="4" t="s">
        <v>872</v>
      </c>
      <c r="D436" s="4" t="s">
        <v>66</v>
      </c>
      <c r="E436" s="4" t="s">
        <v>67</v>
      </c>
      <c r="F436" s="5" t="s">
        <v>873</v>
      </c>
      <c r="G436" s="4"/>
      <c r="H436" s="5" t="s">
        <v>124</v>
      </c>
      <c r="I436" s="4" t="s">
        <v>881</v>
      </c>
      <c r="J436" s="4" t="s">
        <v>7</v>
      </c>
      <c r="K436" s="4" t="s">
        <v>878</v>
      </c>
      <c r="L436" s="4" t="s">
        <v>111</v>
      </c>
      <c r="M436" s="5" t="s">
        <v>112</v>
      </c>
    </row>
    <row r="437" customFormat="false" ht="15" hidden="false" customHeight="false" outlineLevel="0" collapsed="false">
      <c r="A437" s="5" t="n">
        <v>433</v>
      </c>
      <c r="B437" s="4" t="s">
        <v>65</v>
      </c>
      <c r="C437" s="4" t="s">
        <v>872</v>
      </c>
      <c r="D437" s="4" t="s">
        <v>66</v>
      </c>
      <c r="E437" s="4" t="s">
        <v>67</v>
      </c>
      <c r="F437" s="5" t="s">
        <v>873</v>
      </c>
      <c r="G437" s="4"/>
      <c r="H437" s="5" t="s">
        <v>126</v>
      </c>
      <c r="I437" s="4" t="s">
        <v>882</v>
      </c>
      <c r="J437" s="4" t="s">
        <v>7</v>
      </c>
      <c r="K437" s="4" t="s">
        <v>878</v>
      </c>
      <c r="L437" s="4" t="s">
        <v>111</v>
      </c>
      <c r="M437" s="5" t="s">
        <v>112</v>
      </c>
    </row>
    <row r="438" customFormat="false" ht="15" hidden="false" customHeight="false" outlineLevel="0" collapsed="false">
      <c r="A438" s="5" t="n">
        <v>434</v>
      </c>
      <c r="B438" s="4" t="s">
        <v>65</v>
      </c>
      <c r="C438" s="4" t="s">
        <v>872</v>
      </c>
      <c r="D438" s="4" t="s">
        <v>66</v>
      </c>
      <c r="E438" s="4" t="s">
        <v>67</v>
      </c>
      <c r="F438" s="5" t="s">
        <v>873</v>
      </c>
      <c r="G438" s="4"/>
      <c r="H438" s="5" t="s">
        <v>129</v>
      </c>
      <c r="I438" s="4" t="s">
        <v>883</v>
      </c>
      <c r="J438" s="4" t="s">
        <v>7</v>
      </c>
      <c r="K438" s="4" t="s">
        <v>878</v>
      </c>
      <c r="L438" s="4" t="s">
        <v>111</v>
      </c>
      <c r="M438" s="5" t="s">
        <v>112</v>
      </c>
    </row>
    <row r="439" customFormat="false" ht="15" hidden="false" customHeight="false" outlineLevel="0" collapsed="false">
      <c r="A439" s="5" t="n">
        <v>435</v>
      </c>
      <c r="B439" s="4" t="s">
        <v>65</v>
      </c>
      <c r="C439" s="4" t="s">
        <v>872</v>
      </c>
      <c r="D439" s="4" t="s">
        <v>66</v>
      </c>
      <c r="E439" s="4" t="s">
        <v>67</v>
      </c>
      <c r="F439" s="5" t="s">
        <v>873</v>
      </c>
      <c r="G439" s="4"/>
      <c r="H439" s="5" t="s">
        <v>131</v>
      </c>
      <c r="I439" s="4" t="s">
        <v>884</v>
      </c>
      <c r="J439" s="4" t="s">
        <v>7</v>
      </c>
      <c r="K439" s="4" t="s">
        <v>878</v>
      </c>
      <c r="L439" s="4" t="s">
        <v>111</v>
      </c>
      <c r="M439" s="5" t="s">
        <v>112</v>
      </c>
    </row>
    <row r="440" customFormat="false" ht="15" hidden="false" customHeight="false" outlineLevel="0" collapsed="false">
      <c r="A440" s="5" t="n">
        <v>436</v>
      </c>
      <c r="B440" s="4" t="s">
        <v>65</v>
      </c>
      <c r="C440" s="4" t="s">
        <v>872</v>
      </c>
      <c r="D440" s="4" t="s">
        <v>66</v>
      </c>
      <c r="E440" s="4" t="s">
        <v>67</v>
      </c>
      <c r="F440" s="5" t="s">
        <v>873</v>
      </c>
      <c r="G440" s="4"/>
      <c r="H440" s="5" t="s">
        <v>134</v>
      </c>
      <c r="I440" s="4" t="s">
        <v>885</v>
      </c>
      <c r="J440" s="4" t="s">
        <v>162</v>
      </c>
      <c r="K440" s="4" t="s">
        <v>886</v>
      </c>
      <c r="L440" s="4" t="s">
        <v>164</v>
      </c>
      <c r="M440" s="5" t="s">
        <v>112</v>
      </c>
    </row>
    <row r="441" customFormat="false" ht="15" hidden="false" customHeight="false" outlineLevel="0" collapsed="false">
      <c r="A441" s="5" t="n">
        <v>437</v>
      </c>
      <c r="B441" s="4" t="s">
        <v>65</v>
      </c>
      <c r="C441" s="4" t="s">
        <v>872</v>
      </c>
      <c r="D441" s="4" t="s">
        <v>66</v>
      </c>
      <c r="E441" s="4" t="s">
        <v>67</v>
      </c>
      <c r="F441" s="5" t="s">
        <v>873</v>
      </c>
      <c r="G441" s="4"/>
      <c r="H441" s="5" t="s">
        <v>136</v>
      </c>
      <c r="I441" s="4" t="s">
        <v>887</v>
      </c>
      <c r="J441" s="4" t="s">
        <v>162</v>
      </c>
      <c r="K441" s="4" t="s">
        <v>888</v>
      </c>
      <c r="L441" s="4" t="s">
        <v>164</v>
      </c>
      <c r="M441" s="5" t="s">
        <v>112</v>
      </c>
    </row>
    <row r="442" customFormat="false" ht="15" hidden="false" customHeight="false" outlineLevel="0" collapsed="false">
      <c r="A442" s="5" t="n">
        <v>438</v>
      </c>
      <c r="B442" s="4" t="s">
        <v>65</v>
      </c>
      <c r="C442" s="4" t="s">
        <v>872</v>
      </c>
      <c r="D442" s="4" t="s">
        <v>66</v>
      </c>
      <c r="E442" s="4" t="s">
        <v>67</v>
      </c>
      <c r="F442" s="5" t="s">
        <v>873</v>
      </c>
      <c r="G442" s="4"/>
      <c r="H442" s="5" t="s">
        <v>139</v>
      </c>
      <c r="I442" s="4" t="s">
        <v>889</v>
      </c>
      <c r="J442" s="4" t="s">
        <v>162</v>
      </c>
      <c r="K442" s="4" t="s">
        <v>890</v>
      </c>
      <c r="L442" s="4" t="s">
        <v>368</v>
      </c>
      <c r="M442" s="5" t="s">
        <v>112</v>
      </c>
    </row>
    <row r="443" customFormat="false" ht="15" hidden="false" customHeight="false" outlineLevel="0" collapsed="false">
      <c r="A443" s="5" t="n">
        <v>439</v>
      </c>
      <c r="B443" s="4" t="s">
        <v>65</v>
      </c>
      <c r="C443" s="4" t="s">
        <v>872</v>
      </c>
      <c r="D443" s="4" t="s">
        <v>66</v>
      </c>
      <c r="E443" s="4" t="s">
        <v>67</v>
      </c>
      <c r="F443" s="5" t="s">
        <v>873</v>
      </c>
      <c r="G443" s="4"/>
      <c r="H443" s="5" t="s">
        <v>142</v>
      </c>
      <c r="I443" s="4" t="s">
        <v>891</v>
      </c>
      <c r="J443" s="4" t="s">
        <v>162</v>
      </c>
      <c r="K443" s="4" t="s">
        <v>892</v>
      </c>
      <c r="L443" s="4" t="s">
        <v>368</v>
      </c>
      <c r="M443" s="5" t="s">
        <v>112</v>
      </c>
    </row>
    <row r="444" customFormat="false" ht="15" hidden="false" customHeight="false" outlineLevel="0" collapsed="false">
      <c r="A444" s="5" t="n">
        <v>440</v>
      </c>
      <c r="B444" s="4" t="s">
        <v>65</v>
      </c>
      <c r="C444" s="4" t="s">
        <v>872</v>
      </c>
      <c r="D444" s="4" t="s">
        <v>66</v>
      </c>
      <c r="E444" s="4" t="s">
        <v>67</v>
      </c>
      <c r="F444" s="5" t="s">
        <v>873</v>
      </c>
      <c r="G444" s="4"/>
      <c r="H444" s="5" t="s">
        <v>144</v>
      </c>
      <c r="I444" s="4" t="s">
        <v>893</v>
      </c>
      <c r="J444" s="4" t="s">
        <v>162</v>
      </c>
      <c r="K444" s="4" t="s">
        <v>894</v>
      </c>
      <c r="L444" s="4" t="s">
        <v>368</v>
      </c>
      <c r="M444" s="5" t="s">
        <v>112</v>
      </c>
    </row>
    <row r="445" customFormat="false" ht="15" hidden="false" customHeight="false" outlineLevel="0" collapsed="false">
      <c r="A445" s="5" t="n">
        <v>441</v>
      </c>
      <c r="B445" s="4" t="s">
        <v>65</v>
      </c>
      <c r="C445" s="4" t="s">
        <v>872</v>
      </c>
      <c r="D445" s="4" t="s">
        <v>66</v>
      </c>
      <c r="E445" s="4" t="s">
        <v>67</v>
      </c>
      <c r="F445" s="5" t="s">
        <v>873</v>
      </c>
      <c r="G445" s="4"/>
      <c r="H445" s="5" t="s">
        <v>147</v>
      </c>
      <c r="I445" s="4" t="s">
        <v>895</v>
      </c>
      <c r="J445" s="4" t="s">
        <v>162</v>
      </c>
      <c r="K445" s="4" t="s">
        <v>896</v>
      </c>
      <c r="L445" s="4" t="s">
        <v>368</v>
      </c>
      <c r="M445" s="5" t="s">
        <v>112</v>
      </c>
    </row>
    <row r="446" customFormat="false" ht="23.85" hidden="false" customHeight="false" outlineLevel="0" collapsed="false">
      <c r="A446" s="5" t="n">
        <v>442</v>
      </c>
      <c r="B446" s="4" t="s">
        <v>65</v>
      </c>
      <c r="C446" s="4" t="s">
        <v>872</v>
      </c>
      <c r="D446" s="4" t="s">
        <v>66</v>
      </c>
      <c r="E446" s="4" t="s">
        <v>67</v>
      </c>
      <c r="F446" s="5" t="s">
        <v>873</v>
      </c>
      <c r="G446" s="4"/>
      <c r="H446" s="5" t="s">
        <v>150</v>
      </c>
      <c r="I446" s="4" t="s">
        <v>897</v>
      </c>
      <c r="J446" s="4" t="s">
        <v>162</v>
      </c>
      <c r="K446" s="4" t="s">
        <v>898</v>
      </c>
      <c r="L446" s="4" t="s">
        <v>368</v>
      </c>
      <c r="M446" s="5" t="s">
        <v>112</v>
      </c>
    </row>
    <row r="447" customFormat="false" ht="46.25" hidden="false" customHeight="false" outlineLevel="0" collapsed="false">
      <c r="A447" s="5" t="n">
        <v>443</v>
      </c>
      <c r="B447" s="4" t="s">
        <v>65</v>
      </c>
      <c r="C447" s="4" t="s">
        <v>872</v>
      </c>
      <c r="D447" s="4" t="s">
        <v>66</v>
      </c>
      <c r="E447" s="4" t="s">
        <v>67</v>
      </c>
      <c r="F447" s="5" t="s">
        <v>873</v>
      </c>
      <c r="G447" s="4"/>
      <c r="H447" s="5" t="s">
        <v>202</v>
      </c>
      <c r="I447" s="4" t="s">
        <v>899</v>
      </c>
      <c r="J447" s="4" t="s">
        <v>9</v>
      </c>
      <c r="K447" s="4" t="s">
        <v>900</v>
      </c>
      <c r="L447" s="4" t="s">
        <v>111</v>
      </c>
      <c r="M447" s="5" t="s">
        <v>205</v>
      </c>
    </row>
    <row r="448" customFormat="false" ht="35.05" hidden="false" customHeight="false" outlineLevel="0" collapsed="false">
      <c r="A448" s="5" t="n">
        <v>444</v>
      </c>
      <c r="B448" s="4" t="s">
        <v>65</v>
      </c>
      <c r="C448" s="4" t="s">
        <v>872</v>
      </c>
      <c r="D448" s="4" t="s">
        <v>66</v>
      </c>
      <c r="E448" s="4" t="s">
        <v>67</v>
      </c>
      <c r="F448" s="5" t="s">
        <v>873</v>
      </c>
      <c r="G448" s="4"/>
      <c r="H448" s="5" t="s">
        <v>206</v>
      </c>
      <c r="I448" s="4" t="s">
        <v>901</v>
      </c>
      <c r="J448" s="4" t="s">
        <v>9</v>
      </c>
      <c r="K448" s="4" t="s">
        <v>902</v>
      </c>
      <c r="L448" s="4" t="s">
        <v>111</v>
      </c>
      <c r="M448" s="5" t="s">
        <v>205</v>
      </c>
    </row>
    <row r="449" customFormat="false" ht="35.05" hidden="false" customHeight="false" outlineLevel="0" collapsed="false">
      <c r="A449" s="5" t="n">
        <v>445</v>
      </c>
      <c r="B449" s="4" t="s">
        <v>65</v>
      </c>
      <c r="C449" s="4" t="s">
        <v>872</v>
      </c>
      <c r="D449" s="4" t="s">
        <v>66</v>
      </c>
      <c r="E449" s="4" t="s">
        <v>67</v>
      </c>
      <c r="F449" s="5" t="s">
        <v>873</v>
      </c>
      <c r="G449" s="4"/>
      <c r="H449" s="5" t="s">
        <v>209</v>
      </c>
      <c r="I449" s="4" t="s">
        <v>903</v>
      </c>
      <c r="J449" s="4" t="s">
        <v>9</v>
      </c>
      <c r="K449" s="4" t="s">
        <v>904</v>
      </c>
      <c r="L449" s="4" t="s">
        <v>111</v>
      </c>
      <c r="M449" s="5" t="s">
        <v>205</v>
      </c>
    </row>
    <row r="450" customFormat="false" ht="23.85" hidden="false" customHeight="false" outlineLevel="0" collapsed="false">
      <c r="A450" s="5" t="n">
        <v>446</v>
      </c>
      <c r="B450" s="4" t="s">
        <v>65</v>
      </c>
      <c r="C450" s="4" t="s">
        <v>872</v>
      </c>
      <c r="D450" s="4" t="s">
        <v>66</v>
      </c>
      <c r="E450" s="4" t="s">
        <v>67</v>
      </c>
      <c r="F450" s="5" t="s">
        <v>873</v>
      </c>
      <c r="G450" s="4"/>
      <c r="H450" s="5" t="s">
        <v>212</v>
      </c>
      <c r="I450" s="4" t="s">
        <v>905</v>
      </c>
      <c r="J450" s="4" t="s">
        <v>9</v>
      </c>
      <c r="K450" s="4" t="s">
        <v>906</v>
      </c>
      <c r="L450" s="4" t="s">
        <v>111</v>
      </c>
      <c r="M450" s="5" t="s">
        <v>205</v>
      </c>
    </row>
    <row r="451" customFormat="false" ht="15" hidden="false" customHeight="false" outlineLevel="0" collapsed="false">
      <c r="A451" s="5" t="n">
        <v>447</v>
      </c>
      <c r="B451" s="4" t="s">
        <v>65</v>
      </c>
      <c r="C451" s="4" t="s">
        <v>872</v>
      </c>
      <c r="D451" s="4" t="s">
        <v>68</v>
      </c>
      <c r="E451" s="4" t="s">
        <v>69</v>
      </c>
      <c r="F451" s="5" t="s">
        <v>907</v>
      </c>
      <c r="G451" s="4"/>
      <c r="H451" s="5" t="s">
        <v>108</v>
      </c>
      <c r="I451" s="4" t="s">
        <v>908</v>
      </c>
      <c r="J451" s="4" t="s">
        <v>162</v>
      </c>
      <c r="K451" s="4" t="s">
        <v>909</v>
      </c>
      <c r="L451" s="4" t="s">
        <v>368</v>
      </c>
      <c r="M451" s="5" t="s">
        <v>112</v>
      </c>
    </row>
    <row r="452" customFormat="false" ht="35.05" hidden="false" customHeight="false" outlineLevel="0" collapsed="false">
      <c r="A452" s="5" t="n">
        <v>448</v>
      </c>
      <c r="B452" s="4" t="s">
        <v>65</v>
      </c>
      <c r="C452" s="4" t="s">
        <v>872</v>
      </c>
      <c r="D452" s="4" t="s">
        <v>68</v>
      </c>
      <c r="E452" s="4" t="s">
        <v>69</v>
      </c>
      <c r="F452" s="5" t="s">
        <v>907</v>
      </c>
      <c r="G452" s="4"/>
      <c r="H452" s="5" t="s">
        <v>202</v>
      </c>
      <c r="I452" s="4" t="s">
        <v>910</v>
      </c>
      <c r="J452" s="4" t="s">
        <v>9</v>
      </c>
      <c r="K452" s="4" t="s">
        <v>911</v>
      </c>
      <c r="L452" s="4" t="s">
        <v>111</v>
      </c>
      <c r="M452" s="5" t="s">
        <v>205</v>
      </c>
    </row>
    <row r="453" customFormat="false" ht="35.05" hidden="false" customHeight="false" outlineLevel="0" collapsed="false">
      <c r="A453" s="5" t="n">
        <v>449</v>
      </c>
      <c r="B453" s="4" t="s">
        <v>65</v>
      </c>
      <c r="C453" s="4" t="s">
        <v>872</v>
      </c>
      <c r="D453" s="4" t="s">
        <v>68</v>
      </c>
      <c r="E453" s="4" t="s">
        <v>69</v>
      </c>
      <c r="F453" s="5" t="s">
        <v>907</v>
      </c>
      <c r="G453" s="4"/>
      <c r="H453" s="5" t="s">
        <v>206</v>
      </c>
      <c r="I453" s="4" t="s">
        <v>912</v>
      </c>
      <c r="J453" s="4" t="s">
        <v>9</v>
      </c>
      <c r="K453" s="4" t="s">
        <v>913</v>
      </c>
      <c r="L453" s="4" t="s">
        <v>111</v>
      </c>
      <c r="M453" s="5" t="s">
        <v>205</v>
      </c>
    </row>
    <row r="454" customFormat="false" ht="23.85" hidden="false" customHeight="false" outlineLevel="0" collapsed="false">
      <c r="A454" s="5" t="n">
        <v>450</v>
      </c>
      <c r="B454" s="4" t="s">
        <v>72</v>
      </c>
      <c r="C454" s="4" t="s">
        <v>914</v>
      </c>
      <c r="D454" s="4" t="s">
        <v>73</v>
      </c>
      <c r="E454" s="4" t="s">
        <v>74</v>
      </c>
      <c r="F454" s="5" t="s">
        <v>915</v>
      </c>
      <c r="G454" s="4"/>
      <c r="H454" s="5" t="s">
        <v>108</v>
      </c>
      <c r="I454" s="4" t="s">
        <v>916</v>
      </c>
      <c r="J454" s="4" t="s">
        <v>7</v>
      </c>
      <c r="K454" s="4" t="s">
        <v>917</v>
      </c>
      <c r="L454" s="4" t="s">
        <v>111</v>
      </c>
      <c r="M454" s="5" t="s">
        <v>112</v>
      </c>
    </row>
    <row r="455" customFormat="false" ht="23.85" hidden="false" customHeight="false" outlineLevel="0" collapsed="false">
      <c r="A455" s="5" t="n">
        <v>451</v>
      </c>
      <c r="B455" s="4" t="s">
        <v>72</v>
      </c>
      <c r="C455" s="4" t="s">
        <v>914</v>
      </c>
      <c r="D455" s="4" t="s">
        <v>73</v>
      </c>
      <c r="E455" s="4" t="s">
        <v>74</v>
      </c>
      <c r="F455" s="5" t="s">
        <v>915</v>
      </c>
      <c r="G455" s="4"/>
      <c r="H455" s="5" t="s">
        <v>113</v>
      </c>
      <c r="I455" s="4" t="s">
        <v>918</v>
      </c>
      <c r="J455" s="4" t="s">
        <v>7</v>
      </c>
      <c r="K455" s="4" t="s">
        <v>917</v>
      </c>
      <c r="L455" s="4" t="s">
        <v>111</v>
      </c>
      <c r="M455" s="5" t="s">
        <v>112</v>
      </c>
    </row>
    <row r="456" customFormat="false" ht="23.85" hidden="false" customHeight="false" outlineLevel="0" collapsed="false">
      <c r="A456" s="5" t="n">
        <v>452</v>
      </c>
      <c r="B456" s="4" t="s">
        <v>72</v>
      </c>
      <c r="C456" s="4" t="s">
        <v>914</v>
      </c>
      <c r="D456" s="4" t="s">
        <v>73</v>
      </c>
      <c r="E456" s="4" t="s">
        <v>74</v>
      </c>
      <c r="F456" s="5" t="s">
        <v>915</v>
      </c>
      <c r="G456" s="4"/>
      <c r="H456" s="5" t="s">
        <v>115</v>
      </c>
      <c r="I456" s="4" t="s">
        <v>919</v>
      </c>
      <c r="J456" s="4" t="s">
        <v>7</v>
      </c>
      <c r="K456" s="4" t="s">
        <v>917</v>
      </c>
      <c r="L456" s="4" t="s">
        <v>111</v>
      </c>
      <c r="M456" s="5" t="s">
        <v>112</v>
      </c>
    </row>
    <row r="457" customFormat="false" ht="23.85" hidden="false" customHeight="false" outlineLevel="0" collapsed="false">
      <c r="A457" s="5" t="n">
        <v>453</v>
      </c>
      <c r="B457" s="4" t="s">
        <v>72</v>
      </c>
      <c r="C457" s="4" t="s">
        <v>914</v>
      </c>
      <c r="D457" s="4" t="s">
        <v>73</v>
      </c>
      <c r="E457" s="4" t="s">
        <v>74</v>
      </c>
      <c r="F457" s="5" t="s">
        <v>915</v>
      </c>
      <c r="G457" s="4"/>
      <c r="H457" s="5" t="s">
        <v>118</v>
      </c>
      <c r="I457" s="4" t="s">
        <v>920</v>
      </c>
      <c r="J457" s="4" t="s">
        <v>162</v>
      </c>
      <c r="K457" s="4" t="s">
        <v>921</v>
      </c>
      <c r="L457" s="4" t="s">
        <v>164</v>
      </c>
      <c r="M457" s="5" t="s">
        <v>112</v>
      </c>
    </row>
    <row r="458" customFormat="false" ht="23.85" hidden="false" customHeight="false" outlineLevel="0" collapsed="false">
      <c r="A458" s="5" t="n">
        <v>454</v>
      </c>
      <c r="B458" s="4" t="s">
        <v>72</v>
      </c>
      <c r="C458" s="4" t="s">
        <v>914</v>
      </c>
      <c r="D458" s="4" t="s">
        <v>73</v>
      </c>
      <c r="E458" s="4" t="s">
        <v>74</v>
      </c>
      <c r="F458" s="5" t="s">
        <v>915</v>
      </c>
      <c r="G458" s="4"/>
      <c r="H458" s="5" t="s">
        <v>202</v>
      </c>
      <c r="I458" s="4" t="s">
        <v>922</v>
      </c>
      <c r="J458" s="4" t="s">
        <v>9</v>
      </c>
      <c r="K458" s="4" t="s">
        <v>923</v>
      </c>
      <c r="L458" s="4" t="s">
        <v>111</v>
      </c>
      <c r="M458" s="5" t="s">
        <v>205</v>
      </c>
    </row>
    <row r="459" customFormat="false" ht="23.85" hidden="false" customHeight="false" outlineLevel="0" collapsed="false">
      <c r="A459" s="5" t="n">
        <v>455</v>
      </c>
      <c r="B459" s="4" t="s">
        <v>72</v>
      </c>
      <c r="C459" s="4" t="s">
        <v>914</v>
      </c>
      <c r="D459" s="4" t="s">
        <v>73</v>
      </c>
      <c r="E459" s="4" t="s">
        <v>74</v>
      </c>
      <c r="F459" s="5" t="s">
        <v>915</v>
      </c>
      <c r="G459" s="4"/>
      <c r="H459" s="5" t="s">
        <v>206</v>
      </c>
      <c r="I459" s="4" t="s">
        <v>924</v>
      </c>
      <c r="J459" s="4" t="s">
        <v>9</v>
      </c>
      <c r="K459" s="4" t="s">
        <v>925</v>
      </c>
      <c r="L459" s="4" t="s">
        <v>111</v>
      </c>
      <c r="M459" s="5" t="s">
        <v>205</v>
      </c>
    </row>
    <row r="460" customFormat="false" ht="23.85" hidden="false" customHeight="false" outlineLevel="0" collapsed="false">
      <c r="A460" s="5" t="n">
        <v>456</v>
      </c>
      <c r="B460" s="4" t="s">
        <v>72</v>
      </c>
      <c r="C460" s="4" t="s">
        <v>914</v>
      </c>
      <c r="D460" s="4" t="s">
        <v>73</v>
      </c>
      <c r="E460" s="4" t="s">
        <v>74</v>
      </c>
      <c r="F460" s="5" t="s">
        <v>915</v>
      </c>
      <c r="G460" s="4"/>
      <c r="H460" s="5" t="s">
        <v>209</v>
      </c>
      <c r="I460" s="4" t="s">
        <v>926</v>
      </c>
      <c r="J460" s="4" t="s">
        <v>9</v>
      </c>
      <c r="K460" s="4" t="s">
        <v>927</v>
      </c>
      <c r="L460" s="4" t="s">
        <v>111</v>
      </c>
      <c r="M460" s="5" t="s">
        <v>205</v>
      </c>
    </row>
    <row r="461" customFormat="false" ht="23.85" hidden="false" customHeight="false" outlineLevel="0" collapsed="false">
      <c r="A461" s="5" t="n">
        <v>457</v>
      </c>
      <c r="B461" s="4" t="s">
        <v>72</v>
      </c>
      <c r="C461" s="4" t="s">
        <v>914</v>
      </c>
      <c r="D461" s="4" t="s">
        <v>73</v>
      </c>
      <c r="E461" s="4" t="s">
        <v>74</v>
      </c>
      <c r="F461" s="5" t="s">
        <v>915</v>
      </c>
      <c r="G461" s="4"/>
      <c r="H461" s="5" t="s">
        <v>212</v>
      </c>
      <c r="I461" s="4" t="s">
        <v>928</v>
      </c>
      <c r="J461" s="4" t="s">
        <v>9</v>
      </c>
      <c r="K461" s="4" t="s">
        <v>929</v>
      </c>
      <c r="L461" s="4" t="s">
        <v>111</v>
      </c>
      <c r="M461" s="5" t="s">
        <v>205</v>
      </c>
    </row>
    <row r="462" customFormat="false" ht="23.85" hidden="false" customHeight="false" outlineLevel="0" collapsed="false">
      <c r="A462" s="5" t="n">
        <v>458</v>
      </c>
      <c r="B462" s="4" t="s">
        <v>72</v>
      </c>
      <c r="C462" s="4" t="s">
        <v>914</v>
      </c>
      <c r="D462" s="4" t="s">
        <v>75</v>
      </c>
      <c r="E462" s="4" t="s">
        <v>76</v>
      </c>
      <c r="F462" s="5" t="s">
        <v>930</v>
      </c>
      <c r="G462" s="4"/>
      <c r="H462" s="5" t="s">
        <v>108</v>
      </c>
      <c r="I462" s="4" t="s">
        <v>931</v>
      </c>
      <c r="J462" s="4" t="s">
        <v>7</v>
      </c>
      <c r="K462" s="4" t="s">
        <v>932</v>
      </c>
      <c r="L462" s="4" t="s">
        <v>111</v>
      </c>
      <c r="M462" s="5" t="s">
        <v>112</v>
      </c>
    </row>
    <row r="463" customFormat="false" ht="23.85" hidden="false" customHeight="false" outlineLevel="0" collapsed="false">
      <c r="A463" s="5" t="n">
        <v>459</v>
      </c>
      <c r="B463" s="4" t="s">
        <v>72</v>
      </c>
      <c r="C463" s="4" t="s">
        <v>914</v>
      </c>
      <c r="D463" s="4" t="s">
        <v>75</v>
      </c>
      <c r="E463" s="4" t="s">
        <v>76</v>
      </c>
      <c r="F463" s="5" t="s">
        <v>930</v>
      </c>
      <c r="G463" s="4"/>
      <c r="H463" s="5" t="s">
        <v>113</v>
      </c>
      <c r="I463" s="4" t="s">
        <v>933</v>
      </c>
      <c r="J463" s="4" t="s">
        <v>7</v>
      </c>
      <c r="K463" s="4" t="s">
        <v>934</v>
      </c>
      <c r="L463" s="4" t="s">
        <v>111</v>
      </c>
      <c r="M463" s="5" t="s">
        <v>112</v>
      </c>
    </row>
    <row r="464" customFormat="false" ht="23.85" hidden="false" customHeight="false" outlineLevel="0" collapsed="false">
      <c r="A464" s="5" t="n">
        <v>460</v>
      </c>
      <c r="B464" s="4" t="s">
        <v>72</v>
      </c>
      <c r="C464" s="4" t="s">
        <v>914</v>
      </c>
      <c r="D464" s="4" t="s">
        <v>75</v>
      </c>
      <c r="E464" s="4" t="s">
        <v>76</v>
      </c>
      <c r="F464" s="5" t="s">
        <v>930</v>
      </c>
      <c r="G464" s="4"/>
      <c r="H464" s="5" t="s">
        <v>115</v>
      </c>
      <c r="I464" s="4" t="s">
        <v>935</v>
      </c>
      <c r="J464" s="4" t="s">
        <v>162</v>
      </c>
      <c r="K464" s="4" t="s">
        <v>936</v>
      </c>
      <c r="L464" s="4" t="s">
        <v>164</v>
      </c>
      <c r="M464" s="5" t="s">
        <v>112</v>
      </c>
    </row>
    <row r="465" customFormat="false" ht="23.85" hidden="false" customHeight="false" outlineLevel="0" collapsed="false">
      <c r="A465" s="5" t="n">
        <v>461</v>
      </c>
      <c r="B465" s="4" t="s">
        <v>72</v>
      </c>
      <c r="C465" s="4" t="s">
        <v>914</v>
      </c>
      <c r="D465" s="4" t="s">
        <v>75</v>
      </c>
      <c r="E465" s="4" t="s">
        <v>76</v>
      </c>
      <c r="F465" s="5" t="s">
        <v>930</v>
      </c>
      <c r="G465" s="4"/>
      <c r="H465" s="5" t="s">
        <v>202</v>
      </c>
      <c r="I465" s="4" t="s">
        <v>937</v>
      </c>
      <c r="J465" s="4" t="s">
        <v>9</v>
      </c>
      <c r="K465" s="4" t="s">
        <v>938</v>
      </c>
      <c r="L465" s="4" t="s">
        <v>111</v>
      </c>
      <c r="M465" s="5" t="s">
        <v>205</v>
      </c>
    </row>
    <row r="466" customFormat="false" ht="23.85" hidden="false" customHeight="false" outlineLevel="0" collapsed="false">
      <c r="A466" s="5" t="n">
        <v>462</v>
      </c>
      <c r="B466" s="4" t="s">
        <v>72</v>
      </c>
      <c r="C466" s="4" t="s">
        <v>914</v>
      </c>
      <c r="D466" s="4" t="s">
        <v>75</v>
      </c>
      <c r="E466" s="4" t="s">
        <v>76</v>
      </c>
      <c r="F466" s="5" t="s">
        <v>930</v>
      </c>
      <c r="G466" s="4"/>
      <c r="H466" s="5" t="s">
        <v>206</v>
      </c>
      <c r="I466" s="4" t="s">
        <v>939</v>
      </c>
      <c r="J466" s="4" t="s">
        <v>9</v>
      </c>
      <c r="K466" s="4" t="s">
        <v>940</v>
      </c>
      <c r="L466" s="4" t="s">
        <v>111</v>
      </c>
      <c r="M466" s="5" t="s">
        <v>205</v>
      </c>
    </row>
    <row r="467" customFormat="false" ht="23.85" hidden="false" customHeight="false" outlineLevel="0" collapsed="false">
      <c r="A467" s="5" t="n">
        <v>463</v>
      </c>
      <c r="B467" s="4" t="s">
        <v>72</v>
      </c>
      <c r="C467" s="4" t="s">
        <v>914</v>
      </c>
      <c r="D467" s="4" t="s">
        <v>75</v>
      </c>
      <c r="E467" s="4" t="s">
        <v>76</v>
      </c>
      <c r="F467" s="5" t="s">
        <v>930</v>
      </c>
      <c r="G467" s="4"/>
      <c r="H467" s="5" t="s">
        <v>209</v>
      </c>
      <c r="I467" s="4" t="s">
        <v>941</v>
      </c>
      <c r="J467" s="4" t="s">
        <v>9</v>
      </c>
      <c r="K467" s="4" t="s">
        <v>942</v>
      </c>
      <c r="L467" s="4" t="s">
        <v>111</v>
      </c>
      <c r="M467" s="5" t="s">
        <v>205</v>
      </c>
    </row>
    <row r="468" customFormat="false" ht="23.85" hidden="false" customHeight="false" outlineLevel="0" collapsed="false">
      <c r="A468" s="5" t="n">
        <v>464</v>
      </c>
      <c r="B468" s="4" t="s">
        <v>72</v>
      </c>
      <c r="C468" s="4" t="s">
        <v>914</v>
      </c>
      <c r="D468" s="4" t="s">
        <v>75</v>
      </c>
      <c r="E468" s="4" t="s">
        <v>76</v>
      </c>
      <c r="F468" s="5" t="s">
        <v>930</v>
      </c>
      <c r="G468" s="4"/>
      <c r="H468" s="5" t="s">
        <v>212</v>
      </c>
      <c r="I468" s="4" t="s">
        <v>943</v>
      </c>
      <c r="J468" s="4" t="s">
        <v>9</v>
      </c>
      <c r="K468" s="4" t="s">
        <v>944</v>
      </c>
      <c r="L468" s="4" t="s">
        <v>111</v>
      </c>
      <c r="M468" s="5" t="s">
        <v>205</v>
      </c>
    </row>
    <row r="469" customFormat="false" ht="23.85" hidden="false" customHeight="false" outlineLevel="0" collapsed="false">
      <c r="A469" s="5" t="n">
        <v>465</v>
      </c>
      <c r="B469" s="4" t="s">
        <v>72</v>
      </c>
      <c r="C469" s="4" t="s">
        <v>914</v>
      </c>
      <c r="D469" s="4" t="s">
        <v>75</v>
      </c>
      <c r="E469" s="4" t="s">
        <v>76</v>
      </c>
      <c r="F469" s="5" t="s">
        <v>930</v>
      </c>
      <c r="G469" s="4"/>
      <c r="H469" s="5" t="s">
        <v>215</v>
      </c>
      <c r="I469" s="4" t="s">
        <v>945</v>
      </c>
      <c r="J469" s="4" t="s">
        <v>9</v>
      </c>
      <c r="K469" s="4" t="s">
        <v>946</v>
      </c>
      <c r="L469" s="4" t="s">
        <v>111</v>
      </c>
      <c r="M469" s="5" t="s">
        <v>205</v>
      </c>
    </row>
    <row r="470" customFormat="false" ht="23.85" hidden="false" customHeight="false" outlineLevel="0" collapsed="false">
      <c r="A470" s="5" t="n">
        <v>466</v>
      </c>
      <c r="B470" s="4" t="s">
        <v>72</v>
      </c>
      <c r="C470" s="4" t="s">
        <v>914</v>
      </c>
      <c r="D470" s="4" t="s">
        <v>77</v>
      </c>
      <c r="E470" s="4" t="s">
        <v>78</v>
      </c>
      <c r="F470" s="5" t="s">
        <v>947</v>
      </c>
      <c r="G470" s="4"/>
      <c r="H470" s="5" t="s">
        <v>108</v>
      </c>
      <c r="I470" s="4" t="s">
        <v>948</v>
      </c>
      <c r="J470" s="4" t="s">
        <v>7</v>
      </c>
      <c r="K470" s="4" t="s">
        <v>934</v>
      </c>
      <c r="L470" s="4" t="s">
        <v>111</v>
      </c>
      <c r="M470" s="5" t="s">
        <v>112</v>
      </c>
    </row>
    <row r="471" customFormat="false" ht="23.85" hidden="false" customHeight="false" outlineLevel="0" collapsed="false">
      <c r="A471" s="5" t="n">
        <v>467</v>
      </c>
      <c r="B471" s="4" t="s">
        <v>72</v>
      </c>
      <c r="C471" s="4" t="s">
        <v>914</v>
      </c>
      <c r="D471" s="4" t="s">
        <v>77</v>
      </c>
      <c r="E471" s="4" t="s">
        <v>78</v>
      </c>
      <c r="F471" s="5" t="s">
        <v>947</v>
      </c>
      <c r="G471" s="4"/>
      <c r="H471" s="5" t="s">
        <v>113</v>
      </c>
      <c r="I471" s="4" t="s">
        <v>156</v>
      </c>
      <c r="J471" s="4" t="s">
        <v>7</v>
      </c>
      <c r="K471" s="4" t="s">
        <v>949</v>
      </c>
      <c r="L471" s="4" t="s">
        <v>111</v>
      </c>
      <c r="M471" s="5" t="s">
        <v>112</v>
      </c>
    </row>
    <row r="472" customFormat="false" ht="23.85" hidden="false" customHeight="false" outlineLevel="0" collapsed="false">
      <c r="A472" s="5" t="n">
        <v>468</v>
      </c>
      <c r="B472" s="4" t="s">
        <v>72</v>
      </c>
      <c r="C472" s="4" t="s">
        <v>914</v>
      </c>
      <c r="D472" s="4" t="s">
        <v>77</v>
      </c>
      <c r="E472" s="4" t="s">
        <v>78</v>
      </c>
      <c r="F472" s="5" t="s">
        <v>947</v>
      </c>
      <c r="G472" s="4"/>
      <c r="H472" s="5" t="s">
        <v>115</v>
      </c>
      <c r="I472" s="4" t="s">
        <v>950</v>
      </c>
      <c r="J472" s="4" t="s">
        <v>162</v>
      </c>
      <c r="K472" s="4" t="s">
        <v>951</v>
      </c>
      <c r="L472" s="4" t="s">
        <v>164</v>
      </c>
      <c r="M472" s="5" t="s">
        <v>112</v>
      </c>
    </row>
    <row r="473" customFormat="false" ht="23.85" hidden="false" customHeight="false" outlineLevel="0" collapsed="false">
      <c r="A473" s="5" t="n">
        <v>469</v>
      </c>
      <c r="B473" s="4" t="s">
        <v>72</v>
      </c>
      <c r="C473" s="4" t="s">
        <v>914</v>
      </c>
      <c r="D473" s="4" t="s">
        <v>77</v>
      </c>
      <c r="E473" s="4" t="s">
        <v>78</v>
      </c>
      <c r="F473" s="5" t="s">
        <v>947</v>
      </c>
      <c r="G473" s="4"/>
      <c r="H473" s="5" t="s">
        <v>118</v>
      </c>
      <c r="I473" s="4" t="s">
        <v>952</v>
      </c>
      <c r="J473" s="4" t="s">
        <v>162</v>
      </c>
      <c r="K473" s="4" t="s">
        <v>953</v>
      </c>
      <c r="L473" s="4" t="s">
        <v>164</v>
      </c>
      <c r="M473" s="5" t="s">
        <v>112</v>
      </c>
    </row>
    <row r="474" customFormat="false" ht="23.85" hidden="false" customHeight="false" outlineLevel="0" collapsed="false">
      <c r="A474" s="5" t="n">
        <v>470</v>
      </c>
      <c r="B474" s="4" t="s">
        <v>72</v>
      </c>
      <c r="C474" s="4" t="s">
        <v>914</v>
      </c>
      <c r="D474" s="4" t="s">
        <v>77</v>
      </c>
      <c r="E474" s="4" t="s">
        <v>78</v>
      </c>
      <c r="F474" s="5" t="s">
        <v>947</v>
      </c>
      <c r="G474" s="4"/>
      <c r="H474" s="5" t="s">
        <v>202</v>
      </c>
      <c r="I474" s="4" t="s">
        <v>954</v>
      </c>
      <c r="J474" s="4" t="s">
        <v>9</v>
      </c>
      <c r="K474" s="4" t="s">
        <v>955</v>
      </c>
      <c r="L474" s="4" t="s">
        <v>111</v>
      </c>
      <c r="M474" s="5" t="s">
        <v>205</v>
      </c>
    </row>
    <row r="475" customFormat="false" ht="23.85" hidden="false" customHeight="false" outlineLevel="0" collapsed="false">
      <c r="A475" s="5" t="n">
        <v>471</v>
      </c>
      <c r="B475" s="4" t="s">
        <v>72</v>
      </c>
      <c r="C475" s="4" t="s">
        <v>914</v>
      </c>
      <c r="D475" s="4" t="s">
        <v>77</v>
      </c>
      <c r="E475" s="4" t="s">
        <v>78</v>
      </c>
      <c r="F475" s="5" t="s">
        <v>947</v>
      </c>
      <c r="G475" s="4"/>
      <c r="H475" s="5" t="s">
        <v>206</v>
      </c>
      <c r="I475" s="4" t="s">
        <v>956</v>
      </c>
      <c r="J475" s="4" t="s">
        <v>9</v>
      </c>
      <c r="K475" s="4" t="s">
        <v>957</v>
      </c>
      <c r="L475" s="4" t="s">
        <v>111</v>
      </c>
      <c r="M475" s="5" t="s">
        <v>205</v>
      </c>
    </row>
    <row r="476" customFormat="false" ht="23.85" hidden="false" customHeight="false" outlineLevel="0" collapsed="false">
      <c r="A476" s="5" t="n">
        <v>472</v>
      </c>
      <c r="B476" s="4" t="s">
        <v>72</v>
      </c>
      <c r="C476" s="4" t="s">
        <v>914</v>
      </c>
      <c r="D476" s="4" t="s">
        <v>77</v>
      </c>
      <c r="E476" s="4" t="s">
        <v>78</v>
      </c>
      <c r="F476" s="5" t="s">
        <v>947</v>
      </c>
      <c r="G476" s="4"/>
      <c r="H476" s="5" t="s">
        <v>209</v>
      </c>
      <c r="I476" s="4" t="s">
        <v>958</v>
      </c>
      <c r="J476" s="4" t="s">
        <v>9</v>
      </c>
      <c r="K476" s="4" t="s">
        <v>959</v>
      </c>
      <c r="L476" s="4" t="s">
        <v>111</v>
      </c>
      <c r="M476" s="5" t="s">
        <v>205</v>
      </c>
    </row>
    <row r="477" customFormat="false" ht="23.85" hidden="false" customHeight="false" outlineLevel="0" collapsed="false">
      <c r="A477" s="5" t="n">
        <v>473</v>
      </c>
      <c r="B477" s="4" t="s">
        <v>72</v>
      </c>
      <c r="C477" s="4" t="s">
        <v>914</v>
      </c>
      <c r="D477" s="4" t="s">
        <v>77</v>
      </c>
      <c r="E477" s="4" t="s">
        <v>78</v>
      </c>
      <c r="F477" s="5" t="s">
        <v>947</v>
      </c>
      <c r="G477" s="4"/>
      <c r="H477" s="5" t="s">
        <v>212</v>
      </c>
      <c r="I477" s="4" t="s">
        <v>960</v>
      </c>
      <c r="J477" s="4" t="s">
        <v>9</v>
      </c>
      <c r="K477" s="4" t="s">
        <v>961</v>
      </c>
      <c r="L477" s="4" t="s">
        <v>111</v>
      </c>
      <c r="M477" s="5" t="s">
        <v>205</v>
      </c>
    </row>
    <row r="478" customFormat="false" ht="23.85" hidden="false" customHeight="false" outlineLevel="0" collapsed="false">
      <c r="A478" s="5" t="n">
        <v>474</v>
      </c>
      <c r="B478" s="4" t="s">
        <v>72</v>
      </c>
      <c r="C478" s="4" t="s">
        <v>914</v>
      </c>
      <c r="D478" s="4" t="s">
        <v>77</v>
      </c>
      <c r="E478" s="4" t="s">
        <v>78</v>
      </c>
      <c r="F478" s="5" t="s">
        <v>947</v>
      </c>
      <c r="G478" s="4"/>
      <c r="H478" s="5" t="s">
        <v>215</v>
      </c>
      <c r="I478" s="4" t="s">
        <v>962</v>
      </c>
      <c r="J478" s="4" t="s">
        <v>9</v>
      </c>
      <c r="K478" s="4" t="s">
        <v>963</v>
      </c>
      <c r="L478" s="4" t="s">
        <v>111</v>
      </c>
      <c r="M478" s="5" t="s">
        <v>205</v>
      </c>
    </row>
    <row r="479" customFormat="false" ht="23.85" hidden="false" customHeight="false" outlineLevel="0" collapsed="false">
      <c r="A479" s="5" t="n">
        <v>475</v>
      </c>
      <c r="B479" s="4" t="s">
        <v>72</v>
      </c>
      <c r="C479" s="4" t="s">
        <v>914</v>
      </c>
      <c r="D479" s="4" t="s">
        <v>79</v>
      </c>
      <c r="E479" s="4" t="s">
        <v>80</v>
      </c>
      <c r="F479" s="5" t="s">
        <v>964</v>
      </c>
      <c r="G479" s="4"/>
      <c r="H479" s="5" t="s">
        <v>108</v>
      </c>
      <c r="I479" s="4" t="s">
        <v>965</v>
      </c>
      <c r="J479" s="4" t="s">
        <v>162</v>
      </c>
      <c r="K479" s="4" t="s">
        <v>966</v>
      </c>
      <c r="L479" s="4" t="s">
        <v>164</v>
      </c>
      <c r="M479" s="5" t="s">
        <v>112</v>
      </c>
    </row>
    <row r="480" customFormat="false" ht="23.85" hidden="false" customHeight="false" outlineLevel="0" collapsed="false">
      <c r="A480" s="5" t="n">
        <v>476</v>
      </c>
      <c r="B480" s="4" t="s">
        <v>72</v>
      </c>
      <c r="C480" s="4" t="s">
        <v>914</v>
      </c>
      <c r="D480" s="4" t="s">
        <v>79</v>
      </c>
      <c r="E480" s="4" t="s">
        <v>80</v>
      </c>
      <c r="F480" s="5" t="s">
        <v>964</v>
      </c>
      <c r="G480" s="4"/>
      <c r="H480" s="5" t="s">
        <v>113</v>
      </c>
      <c r="I480" s="4" t="s">
        <v>967</v>
      </c>
      <c r="J480" s="4" t="s">
        <v>162</v>
      </c>
      <c r="K480" s="4" t="s">
        <v>968</v>
      </c>
      <c r="L480" s="4" t="s">
        <v>164</v>
      </c>
      <c r="M480" s="5" t="s">
        <v>112</v>
      </c>
    </row>
    <row r="481" customFormat="false" ht="23.85" hidden="false" customHeight="false" outlineLevel="0" collapsed="false">
      <c r="A481" s="5" t="n">
        <v>477</v>
      </c>
      <c r="B481" s="4" t="s">
        <v>72</v>
      </c>
      <c r="C481" s="4" t="s">
        <v>914</v>
      </c>
      <c r="D481" s="4" t="s">
        <v>79</v>
      </c>
      <c r="E481" s="4" t="s">
        <v>80</v>
      </c>
      <c r="F481" s="5" t="s">
        <v>964</v>
      </c>
      <c r="G481" s="4"/>
      <c r="H481" s="5" t="s">
        <v>202</v>
      </c>
      <c r="I481" s="4" t="s">
        <v>969</v>
      </c>
      <c r="J481" s="4" t="s">
        <v>9</v>
      </c>
      <c r="K481" s="4" t="s">
        <v>970</v>
      </c>
      <c r="L481" s="4" t="s">
        <v>111</v>
      </c>
      <c r="M481" s="5" t="s">
        <v>205</v>
      </c>
    </row>
    <row r="482" customFormat="false" ht="23.85" hidden="false" customHeight="false" outlineLevel="0" collapsed="false">
      <c r="A482" s="5" t="n">
        <v>478</v>
      </c>
      <c r="B482" s="4" t="s">
        <v>72</v>
      </c>
      <c r="C482" s="4" t="s">
        <v>914</v>
      </c>
      <c r="D482" s="4" t="s">
        <v>79</v>
      </c>
      <c r="E482" s="4" t="s">
        <v>80</v>
      </c>
      <c r="F482" s="5" t="s">
        <v>964</v>
      </c>
      <c r="G482" s="4"/>
      <c r="H482" s="5" t="s">
        <v>206</v>
      </c>
      <c r="I482" s="4" t="s">
        <v>971</v>
      </c>
      <c r="J482" s="4" t="s">
        <v>9</v>
      </c>
      <c r="K482" s="4" t="s">
        <v>972</v>
      </c>
      <c r="L482" s="4" t="s">
        <v>111</v>
      </c>
      <c r="M482" s="5" t="s">
        <v>205</v>
      </c>
    </row>
    <row r="483" customFormat="false" ht="23.85" hidden="false" customHeight="false" outlineLevel="0" collapsed="false">
      <c r="A483" s="5" t="n">
        <v>479</v>
      </c>
      <c r="B483" s="4" t="s">
        <v>72</v>
      </c>
      <c r="C483" s="4" t="s">
        <v>914</v>
      </c>
      <c r="D483" s="4" t="s">
        <v>79</v>
      </c>
      <c r="E483" s="4" t="s">
        <v>80</v>
      </c>
      <c r="F483" s="5" t="s">
        <v>964</v>
      </c>
      <c r="G483" s="4"/>
      <c r="H483" s="5" t="s">
        <v>209</v>
      </c>
      <c r="I483" s="4" t="s">
        <v>973</v>
      </c>
      <c r="J483" s="4" t="s">
        <v>9</v>
      </c>
      <c r="K483" s="4" t="s">
        <v>974</v>
      </c>
      <c r="L483" s="4" t="s">
        <v>111</v>
      </c>
      <c r="M483" s="5" t="s">
        <v>205</v>
      </c>
    </row>
    <row r="484" customFormat="false" ht="23.85" hidden="false" customHeight="false" outlineLevel="0" collapsed="false">
      <c r="A484" s="5" t="n">
        <v>480</v>
      </c>
      <c r="B484" s="4" t="s">
        <v>72</v>
      </c>
      <c r="C484" s="4" t="s">
        <v>914</v>
      </c>
      <c r="D484" s="4" t="s">
        <v>79</v>
      </c>
      <c r="E484" s="4" t="s">
        <v>80</v>
      </c>
      <c r="F484" s="5" t="s">
        <v>964</v>
      </c>
      <c r="G484" s="4"/>
      <c r="H484" s="5" t="s">
        <v>212</v>
      </c>
      <c r="I484" s="4" t="s">
        <v>975</v>
      </c>
      <c r="J484" s="4" t="s">
        <v>9</v>
      </c>
      <c r="K484" s="4" t="s">
        <v>976</v>
      </c>
      <c r="L484" s="4" t="s">
        <v>111</v>
      </c>
      <c r="M484" s="5" t="s">
        <v>205</v>
      </c>
    </row>
    <row r="485" customFormat="false" ht="23.85" hidden="false" customHeight="false" outlineLevel="0" collapsed="false">
      <c r="A485" s="5" t="n">
        <v>481</v>
      </c>
      <c r="B485" s="4" t="s">
        <v>72</v>
      </c>
      <c r="C485" s="4" t="s">
        <v>914</v>
      </c>
      <c r="D485" s="4" t="s">
        <v>81</v>
      </c>
      <c r="E485" s="4" t="s">
        <v>82</v>
      </c>
      <c r="F485" s="5" t="s">
        <v>977</v>
      </c>
      <c r="G485" s="4"/>
      <c r="H485" s="5" t="s">
        <v>108</v>
      </c>
      <c r="I485" s="4" t="s">
        <v>978</v>
      </c>
      <c r="J485" s="4" t="s">
        <v>162</v>
      </c>
      <c r="K485" s="4" t="s">
        <v>979</v>
      </c>
      <c r="L485" s="4" t="s">
        <v>164</v>
      </c>
      <c r="M485" s="5" t="s">
        <v>112</v>
      </c>
    </row>
    <row r="486" customFormat="false" ht="23.85" hidden="false" customHeight="false" outlineLevel="0" collapsed="false">
      <c r="A486" s="5" t="n">
        <v>482</v>
      </c>
      <c r="B486" s="4" t="s">
        <v>72</v>
      </c>
      <c r="C486" s="4" t="s">
        <v>914</v>
      </c>
      <c r="D486" s="4" t="s">
        <v>81</v>
      </c>
      <c r="E486" s="4" t="s">
        <v>82</v>
      </c>
      <c r="F486" s="5" t="s">
        <v>977</v>
      </c>
      <c r="G486" s="4"/>
      <c r="H486" s="5" t="s">
        <v>202</v>
      </c>
      <c r="I486" s="4" t="s">
        <v>980</v>
      </c>
      <c r="J486" s="4" t="s">
        <v>9</v>
      </c>
      <c r="K486" s="4" t="s">
        <v>981</v>
      </c>
      <c r="L486" s="4" t="s">
        <v>111</v>
      </c>
      <c r="M486" s="5" t="s">
        <v>205</v>
      </c>
    </row>
    <row r="487" customFormat="false" ht="23.85" hidden="false" customHeight="false" outlineLevel="0" collapsed="false">
      <c r="A487" s="5" t="n">
        <v>483</v>
      </c>
      <c r="B487" s="4" t="s">
        <v>72</v>
      </c>
      <c r="C487" s="4" t="s">
        <v>914</v>
      </c>
      <c r="D487" s="4" t="s">
        <v>81</v>
      </c>
      <c r="E487" s="4" t="s">
        <v>82</v>
      </c>
      <c r="F487" s="5" t="s">
        <v>977</v>
      </c>
      <c r="G487" s="4"/>
      <c r="H487" s="5" t="s">
        <v>206</v>
      </c>
      <c r="I487" s="4" t="s">
        <v>982</v>
      </c>
      <c r="J487" s="4" t="s">
        <v>9</v>
      </c>
      <c r="K487" s="4" t="s">
        <v>983</v>
      </c>
      <c r="L487" s="4" t="s">
        <v>111</v>
      </c>
      <c r="M487" s="5" t="s">
        <v>205</v>
      </c>
    </row>
    <row r="488" customFormat="false" ht="23.85" hidden="false" customHeight="false" outlineLevel="0" collapsed="false">
      <c r="A488" s="5" t="n">
        <v>484</v>
      </c>
      <c r="B488" s="4" t="s">
        <v>72</v>
      </c>
      <c r="C488" s="4" t="s">
        <v>914</v>
      </c>
      <c r="D488" s="4" t="s">
        <v>81</v>
      </c>
      <c r="E488" s="4" t="s">
        <v>82</v>
      </c>
      <c r="F488" s="5" t="s">
        <v>977</v>
      </c>
      <c r="G488" s="4"/>
      <c r="H488" s="5" t="s">
        <v>209</v>
      </c>
      <c r="I488" s="4" t="s">
        <v>984</v>
      </c>
      <c r="J488" s="4" t="s">
        <v>9</v>
      </c>
      <c r="K488" s="4" t="s">
        <v>985</v>
      </c>
      <c r="L488" s="4" t="s">
        <v>111</v>
      </c>
      <c r="M488" s="5" t="s">
        <v>205</v>
      </c>
    </row>
    <row r="489" customFormat="false" ht="23.85" hidden="false" customHeight="false" outlineLevel="0" collapsed="false">
      <c r="A489" s="5" t="n">
        <v>485</v>
      </c>
      <c r="B489" s="4" t="s">
        <v>72</v>
      </c>
      <c r="C489" s="4" t="s">
        <v>914</v>
      </c>
      <c r="D489" s="4" t="s">
        <v>81</v>
      </c>
      <c r="E489" s="4" t="s">
        <v>82</v>
      </c>
      <c r="F489" s="5" t="s">
        <v>977</v>
      </c>
      <c r="G489" s="4"/>
      <c r="H489" s="5" t="s">
        <v>212</v>
      </c>
      <c r="I489" s="4" t="s">
        <v>986</v>
      </c>
      <c r="J489" s="4" t="s">
        <v>9</v>
      </c>
      <c r="K489" s="4" t="s">
        <v>987</v>
      </c>
      <c r="L489" s="4" t="s">
        <v>111</v>
      </c>
      <c r="M489" s="5" t="s">
        <v>205</v>
      </c>
    </row>
    <row r="490" customFormat="false" ht="23.85" hidden="false" customHeight="false" outlineLevel="0" collapsed="false">
      <c r="A490" s="5" t="n">
        <v>486</v>
      </c>
      <c r="B490" s="4" t="s">
        <v>72</v>
      </c>
      <c r="C490" s="4" t="s">
        <v>914</v>
      </c>
      <c r="D490" s="4" t="s">
        <v>83</v>
      </c>
      <c r="E490" s="4" t="s">
        <v>84</v>
      </c>
      <c r="F490" s="5" t="s">
        <v>988</v>
      </c>
      <c r="G490" s="4"/>
      <c r="H490" s="5" t="s">
        <v>108</v>
      </c>
      <c r="I490" s="4" t="s">
        <v>989</v>
      </c>
      <c r="J490" s="4" t="s">
        <v>7</v>
      </c>
      <c r="K490" s="4" t="s">
        <v>990</v>
      </c>
      <c r="L490" s="4" t="s">
        <v>111</v>
      </c>
      <c r="M490" s="5" t="s">
        <v>112</v>
      </c>
    </row>
    <row r="491" customFormat="false" ht="23.85" hidden="false" customHeight="false" outlineLevel="0" collapsed="false">
      <c r="A491" s="5" t="n">
        <v>487</v>
      </c>
      <c r="B491" s="4" t="s">
        <v>72</v>
      </c>
      <c r="C491" s="4" t="s">
        <v>914</v>
      </c>
      <c r="D491" s="4" t="s">
        <v>83</v>
      </c>
      <c r="E491" s="4" t="s">
        <v>84</v>
      </c>
      <c r="F491" s="5" t="s">
        <v>988</v>
      </c>
      <c r="G491" s="4"/>
      <c r="H491" s="5" t="s">
        <v>113</v>
      </c>
      <c r="I491" s="4" t="s">
        <v>991</v>
      </c>
      <c r="J491" s="4" t="s">
        <v>7</v>
      </c>
      <c r="K491" s="4" t="s">
        <v>992</v>
      </c>
      <c r="L491" s="4" t="s">
        <v>111</v>
      </c>
      <c r="M491" s="5" t="s">
        <v>112</v>
      </c>
    </row>
    <row r="492" customFormat="false" ht="23.85" hidden="false" customHeight="false" outlineLevel="0" collapsed="false">
      <c r="A492" s="5" t="n">
        <v>488</v>
      </c>
      <c r="B492" s="4" t="s">
        <v>72</v>
      </c>
      <c r="C492" s="4" t="s">
        <v>914</v>
      </c>
      <c r="D492" s="4" t="s">
        <v>83</v>
      </c>
      <c r="E492" s="4" t="s">
        <v>84</v>
      </c>
      <c r="F492" s="5" t="s">
        <v>988</v>
      </c>
      <c r="G492" s="4"/>
      <c r="H492" s="5" t="s">
        <v>115</v>
      </c>
      <c r="I492" s="4" t="s">
        <v>993</v>
      </c>
      <c r="J492" s="4" t="s">
        <v>162</v>
      </c>
      <c r="K492" s="4" t="s">
        <v>994</v>
      </c>
      <c r="L492" s="4" t="s">
        <v>164</v>
      </c>
      <c r="M492" s="5" t="s">
        <v>112</v>
      </c>
    </row>
    <row r="493" customFormat="false" ht="23.85" hidden="false" customHeight="false" outlineLevel="0" collapsed="false">
      <c r="A493" s="5" t="n">
        <v>489</v>
      </c>
      <c r="B493" s="4" t="s">
        <v>72</v>
      </c>
      <c r="C493" s="4" t="s">
        <v>914</v>
      </c>
      <c r="D493" s="4" t="s">
        <v>83</v>
      </c>
      <c r="E493" s="4" t="s">
        <v>84</v>
      </c>
      <c r="F493" s="5" t="s">
        <v>988</v>
      </c>
      <c r="G493" s="4"/>
      <c r="H493" s="5" t="s">
        <v>118</v>
      </c>
      <c r="I493" s="4" t="s">
        <v>995</v>
      </c>
      <c r="J493" s="4" t="s">
        <v>162</v>
      </c>
      <c r="K493" s="4" t="s">
        <v>996</v>
      </c>
      <c r="L493" s="4" t="s">
        <v>164</v>
      </c>
      <c r="M493" s="5" t="s">
        <v>112</v>
      </c>
    </row>
    <row r="494" customFormat="false" ht="23.85" hidden="false" customHeight="false" outlineLevel="0" collapsed="false">
      <c r="A494" s="5" t="n">
        <v>490</v>
      </c>
      <c r="B494" s="4" t="s">
        <v>72</v>
      </c>
      <c r="C494" s="4" t="s">
        <v>914</v>
      </c>
      <c r="D494" s="4" t="s">
        <v>83</v>
      </c>
      <c r="E494" s="4" t="s">
        <v>84</v>
      </c>
      <c r="F494" s="5" t="s">
        <v>988</v>
      </c>
      <c r="G494" s="4"/>
      <c r="H494" s="5" t="s">
        <v>120</v>
      </c>
      <c r="I494" s="4" t="s">
        <v>997</v>
      </c>
      <c r="J494" s="4" t="s">
        <v>162</v>
      </c>
      <c r="K494" s="4" t="s">
        <v>998</v>
      </c>
      <c r="L494" s="4" t="s">
        <v>368</v>
      </c>
      <c r="M494" s="5" t="s">
        <v>112</v>
      </c>
    </row>
    <row r="495" customFormat="false" ht="23.85" hidden="false" customHeight="false" outlineLevel="0" collapsed="false">
      <c r="A495" s="5" t="n">
        <v>491</v>
      </c>
      <c r="B495" s="4" t="s">
        <v>72</v>
      </c>
      <c r="C495" s="4" t="s">
        <v>914</v>
      </c>
      <c r="D495" s="4" t="s">
        <v>83</v>
      </c>
      <c r="E495" s="4" t="s">
        <v>84</v>
      </c>
      <c r="F495" s="5" t="s">
        <v>988</v>
      </c>
      <c r="G495" s="4"/>
      <c r="H495" s="5" t="s">
        <v>122</v>
      </c>
      <c r="I495" s="4" t="s">
        <v>999</v>
      </c>
      <c r="J495" s="4" t="s">
        <v>162</v>
      </c>
      <c r="K495" s="4" t="s">
        <v>1000</v>
      </c>
      <c r="L495" s="4" t="s">
        <v>368</v>
      </c>
      <c r="M495" s="5" t="s">
        <v>112</v>
      </c>
    </row>
    <row r="496" customFormat="false" ht="23.85" hidden="false" customHeight="false" outlineLevel="0" collapsed="false">
      <c r="A496" s="5" t="n">
        <v>492</v>
      </c>
      <c r="B496" s="4" t="s">
        <v>72</v>
      </c>
      <c r="C496" s="4" t="s">
        <v>914</v>
      </c>
      <c r="D496" s="4" t="s">
        <v>83</v>
      </c>
      <c r="E496" s="4" t="s">
        <v>84</v>
      </c>
      <c r="F496" s="5" t="s">
        <v>988</v>
      </c>
      <c r="G496" s="4"/>
      <c r="H496" s="5" t="s">
        <v>202</v>
      </c>
      <c r="I496" s="4" t="s">
        <v>1001</v>
      </c>
      <c r="J496" s="4" t="s">
        <v>9</v>
      </c>
      <c r="K496" s="4" t="s">
        <v>1002</v>
      </c>
      <c r="L496" s="4" t="s">
        <v>111</v>
      </c>
      <c r="M496" s="5" t="s">
        <v>205</v>
      </c>
    </row>
    <row r="497" customFormat="false" ht="23.85" hidden="false" customHeight="false" outlineLevel="0" collapsed="false">
      <c r="A497" s="5" t="n">
        <v>493</v>
      </c>
      <c r="B497" s="4" t="s">
        <v>72</v>
      </c>
      <c r="C497" s="4" t="s">
        <v>914</v>
      </c>
      <c r="D497" s="4" t="s">
        <v>83</v>
      </c>
      <c r="E497" s="4" t="s">
        <v>84</v>
      </c>
      <c r="F497" s="5" t="s">
        <v>988</v>
      </c>
      <c r="G497" s="4"/>
      <c r="H497" s="5" t="s">
        <v>206</v>
      </c>
      <c r="I497" s="4" t="s">
        <v>1003</v>
      </c>
      <c r="J497" s="4" t="s">
        <v>9</v>
      </c>
      <c r="K497" s="4" t="s">
        <v>1004</v>
      </c>
      <c r="L497" s="4" t="s">
        <v>111</v>
      </c>
      <c r="M497" s="5" t="s">
        <v>205</v>
      </c>
    </row>
    <row r="498" customFormat="false" ht="23.85" hidden="false" customHeight="false" outlineLevel="0" collapsed="false">
      <c r="A498" s="5" t="n">
        <v>494</v>
      </c>
      <c r="B498" s="4" t="s">
        <v>72</v>
      </c>
      <c r="C498" s="4" t="s">
        <v>914</v>
      </c>
      <c r="D498" s="4" t="s">
        <v>83</v>
      </c>
      <c r="E498" s="4" t="s">
        <v>84</v>
      </c>
      <c r="F498" s="5" t="s">
        <v>988</v>
      </c>
      <c r="G498" s="4"/>
      <c r="H498" s="5" t="s">
        <v>209</v>
      </c>
      <c r="I498" s="4" t="s">
        <v>1005</v>
      </c>
      <c r="J498" s="4" t="s">
        <v>9</v>
      </c>
      <c r="K498" s="4" t="s">
        <v>1006</v>
      </c>
      <c r="L498" s="4" t="s">
        <v>111</v>
      </c>
      <c r="M498" s="5" t="s">
        <v>205</v>
      </c>
    </row>
    <row r="499" customFormat="false" ht="23.85" hidden="false" customHeight="false" outlineLevel="0" collapsed="false">
      <c r="A499" s="5" t="n">
        <v>495</v>
      </c>
      <c r="B499" s="4" t="s">
        <v>72</v>
      </c>
      <c r="C499" s="4" t="s">
        <v>914</v>
      </c>
      <c r="D499" s="4" t="s">
        <v>83</v>
      </c>
      <c r="E499" s="4" t="s">
        <v>84</v>
      </c>
      <c r="F499" s="5" t="s">
        <v>988</v>
      </c>
      <c r="G499" s="4"/>
      <c r="H499" s="5" t="s">
        <v>212</v>
      </c>
      <c r="I499" s="4" t="s">
        <v>1007</v>
      </c>
      <c r="J499" s="4" t="s">
        <v>9</v>
      </c>
      <c r="K499" s="4" t="s">
        <v>1008</v>
      </c>
      <c r="L499" s="4" t="s">
        <v>111</v>
      </c>
      <c r="M499" s="5" t="s">
        <v>205</v>
      </c>
    </row>
    <row r="500" customFormat="false" ht="23.85" hidden="false" customHeight="false" outlineLevel="0" collapsed="false">
      <c r="A500" s="5" t="n">
        <v>496</v>
      </c>
      <c r="B500" s="4" t="s">
        <v>72</v>
      </c>
      <c r="C500" s="4" t="s">
        <v>914</v>
      </c>
      <c r="D500" s="4" t="s">
        <v>85</v>
      </c>
      <c r="E500" s="4" t="s">
        <v>86</v>
      </c>
      <c r="F500" s="5" t="s">
        <v>1009</v>
      </c>
      <c r="G500" s="4"/>
      <c r="H500" s="5" t="s">
        <v>108</v>
      </c>
      <c r="I500" s="4" t="s">
        <v>1010</v>
      </c>
      <c r="J500" s="4" t="s">
        <v>7</v>
      </c>
      <c r="K500" s="4" t="s">
        <v>1011</v>
      </c>
      <c r="L500" s="4" t="s">
        <v>111</v>
      </c>
      <c r="M500" s="5" t="s">
        <v>112</v>
      </c>
    </row>
    <row r="501" customFormat="false" ht="23.85" hidden="false" customHeight="false" outlineLevel="0" collapsed="false">
      <c r="A501" s="5" t="n">
        <v>497</v>
      </c>
      <c r="B501" s="4" t="s">
        <v>72</v>
      </c>
      <c r="C501" s="4" t="s">
        <v>914</v>
      </c>
      <c r="D501" s="4" t="s">
        <v>85</v>
      </c>
      <c r="E501" s="4" t="s">
        <v>86</v>
      </c>
      <c r="F501" s="5" t="s">
        <v>1009</v>
      </c>
      <c r="G501" s="4"/>
      <c r="H501" s="5" t="s">
        <v>113</v>
      </c>
      <c r="I501" s="4" t="s">
        <v>1012</v>
      </c>
      <c r="J501" s="4" t="s">
        <v>7</v>
      </c>
      <c r="K501" s="4" t="s">
        <v>1013</v>
      </c>
      <c r="L501" s="4" t="s">
        <v>111</v>
      </c>
      <c r="M501" s="5" t="s">
        <v>112</v>
      </c>
    </row>
    <row r="502" customFormat="false" ht="23.85" hidden="false" customHeight="false" outlineLevel="0" collapsed="false">
      <c r="A502" s="5" t="n">
        <v>498</v>
      </c>
      <c r="B502" s="4" t="s">
        <v>72</v>
      </c>
      <c r="C502" s="4" t="s">
        <v>914</v>
      </c>
      <c r="D502" s="4" t="s">
        <v>85</v>
      </c>
      <c r="E502" s="4" t="s">
        <v>86</v>
      </c>
      <c r="F502" s="5" t="s">
        <v>1009</v>
      </c>
      <c r="G502" s="4"/>
      <c r="H502" s="5" t="s">
        <v>115</v>
      </c>
      <c r="I502" s="4" t="s">
        <v>1014</v>
      </c>
      <c r="J502" s="4" t="s">
        <v>162</v>
      </c>
      <c r="K502" s="4" t="s">
        <v>1015</v>
      </c>
      <c r="L502" s="4" t="s">
        <v>164</v>
      </c>
      <c r="M502" s="5" t="s">
        <v>112</v>
      </c>
    </row>
    <row r="503" customFormat="false" ht="23.85" hidden="false" customHeight="false" outlineLevel="0" collapsed="false">
      <c r="A503" s="5" t="n">
        <v>499</v>
      </c>
      <c r="B503" s="4" t="s">
        <v>72</v>
      </c>
      <c r="C503" s="4" t="s">
        <v>914</v>
      </c>
      <c r="D503" s="4" t="s">
        <v>85</v>
      </c>
      <c r="E503" s="4" t="s">
        <v>86</v>
      </c>
      <c r="F503" s="5" t="s">
        <v>1009</v>
      </c>
      <c r="G503" s="4"/>
      <c r="H503" s="5" t="s">
        <v>202</v>
      </c>
      <c r="I503" s="4" t="s">
        <v>1016</v>
      </c>
      <c r="J503" s="4" t="s">
        <v>9</v>
      </c>
      <c r="K503" s="4" t="s">
        <v>1017</v>
      </c>
      <c r="L503" s="4" t="s">
        <v>111</v>
      </c>
      <c r="M503" s="5" t="s">
        <v>205</v>
      </c>
    </row>
    <row r="504" customFormat="false" ht="23.85" hidden="false" customHeight="false" outlineLevel="0" collapsed="false">
      <c r="A504" s="5" t="n">
        <v>500</v>
      </c>
      <c r="B504" s="4" t="s">
        <v>72</v>
      </c>
      <c r="C504" s="4" t="s">
        <v>914</v>
      </c>
      <c r="D504" s="4" t="s">
        <v>85</v>
      </c>
      <c r="E504" s="4" t="s">
        <v>86</v>
      </c>
      <c r="F504" s="5" t="s">
        <v>1009</v>
      </c>
      <c r="G504" s="4"/>
      <c r="H504" s="5" t="s">
        <v>206</v>
      </c>
      <c r="I504" s="4" t="s">
        <v>1018</v>
      </c>
      <c r="J504" s="4" t="s">
        <v>9</v>
      </c>
      <c r="K504" s="4" t="s">
        <v>1019</v>
      </c>
      <c r="L504" s="4" t="s">
        <v>111</v>
      </c>
      <c r="M504" s="5" t="s">
        <v>205</v>
      </c>
    </row>
    <row r="505" customFormat="false" ht="23.85" hidden="false" customHeight="false" outlineLevel="0" collapsed="false">
      <c r="A505" s="5" t="n">
        <v>501</v>
      </c>
      <c r="B505" s="4" t="s">
        <v>72</v>
      </c>
      <c r="C505" s="4" t="s">
        <v>914</v>
      </c>
      <c r="D505" s="4" t="s">
        <v>85</v>
      </c>
      <c r="E505" s="4" t="s">
        <v>86</v>
      </c>
      <c r="F505" s="5" t="s">
        <v>1009</v>
      </c>
      <c r="G505" s="4"/>
      <c r="H505" s="5" t="s">
        <v>209</v>
      </c>
      <c r="I505" s="4" t="s">
        <v>1020</v>
      </c>
      <c r="J505" s="4" t="s">
        <v>9</v>
      </c>
      <c r="K505" s="4" t="s">
        <v>1021</v>
      </c>
      <c r="L505" s="4" t="s">
        <v>111</v>
      </c>
      <c r="M505" s="5" t="s">
        <v>205</v>
      </c>
    </row>
    <row r="506" customFormat="false" ht="23.85" hidden="false" customHeight="false" outlineLevel="0" collapsed="false">
      <c r="A506" s="5" t="n">
        <v>502</v>
      </c>
      <c r="B506" s="4" t="s">
        <v>72</v>
      </c>
      <c r="C506" s="4" t="s">
        <v>914</v>
      </c>
      <c r="D506" s="4" t="s">
        <v>85</v>
      </c>
      <c r="E506" s="4" t="s">
        <v>86</v>
      </c>
      <c r="F506" s="5" t="s">
        <v>1009</v>
      </c>
      <c r="G506" s="4"/>
      <c r="H506" s="5" t="s">
        <v>212</v>
      </c>
      <c r="I506" s="4" t="s">
        <v>1022</v>
      </c>
      <c r="J506" s="4" t="s">
        <v>9</v>
      </c>
      <c r="K506" s="4" t="s">
        <v>1023</v>
      </c>
      <c r="L506" s="4" t="s">
        <v>111</v>
      </c>
      <c r="M506" s="5" t="s">
        <v>205</v>
      </c>
    </row>
    <row r="507" customFormat="false" ht="23.85" hidden="false" customHeight="false" outlineLevel="0" collapsed="false">
      <c r="A507" s="5" t="n">
        <v>503</v>
      </c>
      <c r="B507" s="4" t="s">
        <v>72</v>
      </c>
      <c r="C507" s="4" t="s">
        <v>914</v>
      </c>
      <c r="D507" s="4" t="s">
        <v>85</v>
      </c>
      <c r="E507" s="4" t="s">
        <v>86</v>
      </c>
      <c r="F507" s="5" t="s">
        <v>1009</v>
      </c>
      <c r="G507" s="4"/>
      <c r="H507" s="5" t="s">
        <v>215</v>
      </c>
      <c r="I507" s="4" t="s">
        <v>1024</v>
      </c>
      <c r="J507" s="4" t="s">
        <v>9</v>
      </c>
      <c r="K507" s="4" t="s">
        <v>1025</v>
      </c>
      <c r="L507" s="4" t="s">
        <v>111</v>
      </c>
      <c r="M507" s="5" t="s">
        <v>205</v>
      </c>
    </row>
    <row r="508" customFormat="false" ht="23.85" hidden="false" customHeight="false" outlineLevel="0" collapsed="false">
      <c r="A508" s="5" t="n">
        <v>504</v>
      </c>
      <c r="B508" s="4" t="s">
        <v>72</v>
      </c>
      <c r="C508" s="4" t="s">
        <v>914</v>
      </c>
      <c r="D508" s="4" t="s">
        <v>85</v>
      </c>
      <c r="E508" s="4" t="s">
        <v>86</v>
      </c>
      <c r="F508" s="5" t="s">
        <v>1009</v>
      </c>
      <c r="G508" s="4"/>
      <c r="H508" s="5" t="s">
        <v>218</v>
      </c>
      <c r="I508" s="4" t="s">
        <v>1026</v>
      </c>
      <c r="J508" s="4" t="s">
        <v>9</v>
      </c>
      <c r="K508" s="4" t="s">
        <v>1027</v>
      </c>
      <c r="L508" s="4" t="s">
        <v>111</v>
      </c>
      <c r="M508" s="5" t="s">
        <v>205</v>
      </c>
    </row>
    <row r="509" customFormat="false" ht="23.85" hidden="false" customHeight="false" outlineLevel="0" collapsed="false">
      <c r="A509" s="5" t="n">
        <v>505</v>
      </c>
      <c r="B509" s="4" t="s">
        <v>72</v>
      </c>
      <c r="C509" s="4" t="s">
        <v>914</v>
      </c>
      <c r="D509" s="4" t="s">
        <v>85</v>
      </c>
      <c r="E509" s="4" t="s">
        <v>86</v>
      </c>
      <c r="F509" s="5" t="s">
        <v>1009</v>
      </c>
      <c r="G509" s="4"/>
      <c r="H509" s="5" t="s">
        <v>221</v>
      </c>
      <c r="I509" s="4" t="s">
        <v>1028</v>
      </c>
      <c r="J509" s="4" t="s">
        <v>9</v>
      </c>
      <c r="K509" s="4" t="s">
        <v>1029</v>
      </c>
      <c r="L509" s="4" t="s">
        <v>111</v>
      </c>
      <c r="M509" s="5" t="s">
        <v>205</v>
      </c>
    </row>
    <row r="510" customFormat="false" ht="23.85" hidden="false" customHeight="false" outlineLevel="0" collapsed="false">
      <c r="A510" s="5" t="n">
        <v>506</v>
      </c>
      <c r="B510" s="4" t="s">
        <v>72</v>
      </c>
      <c r="C510" s="4" t="s">
        <v>914</v>
      </c>
      <c r="D510" s="4" t="s">
        <v>87</v>
      </c>
      <c r="E510" s="4" t="s">
        <v>88</v>
      </c>
      <c r="F510" s="5" t="s">
        <v>1030</v>
      </c>
      <c r="G510" s="4"/>
      <c r="H510" s="5" t="s">
        <v>108</v>
      </c>
      <c r="I510" s="4" t="s">
        <v>1031</v>
      </c>
      <c r="J510" s="4" t="s">
        <v>7</v>
      </c>
      <c r="K510" s="4" t="s">
        <v>1032</v>
      </c>
      <c r="L510" s="4" t="s">
        <v>111</v>
      </c>
      <c r="M510" s="5" t="s">
        <v>112</v>
      </c>
    </row>
    <row r="511" customFormat="false" ht="23.85" hidden="false" customHeight="false" outlineLevel="0" collapsed="false">
      <c r="A511" s="5" t="n">
        <v>507</v>
      </c>
      <c r="B511" s="4" t="s">
        <v>72</v>
      </c>
      <c r="C511" s="4" t="s">
        <v>914</v>
      </c>
      <c r="D511" s="4" t="s">
        <v>87</v>
      </c>
      <c r="E511" s="4" t="s">
        <v>88</v>
      </c>
      <c r="F511" s="5" t="s">
        <v>1030</v>
      </c>
      <c r="G511" s="4"/>
      <c r="H511" s="5" t="s">
        <v>113</v>
      </c>
      <c r="I511" s="4" t="s">
        <v>1033</v>
      </c>
      <c r="J511" s="4" t="s">
        <v>7</v>
      </c>
      <c r="K511" s="4" t="s">
        <v>1032</v>
      </c>
      <c r="L511" s="4" t="s">
        <v>111</v>
      </c>
      <c r="M511" s="5" t="s">
        <v>112</v>
      </c>
    </row>
    <row r="512" customFormat="false" ht="23.85" hidden="false" customHeight="false" outlineLevel="0" collapsed="false">
      <c r="A512" s="5" t="n">
        <v>508</v>
      </c>
      <c r="B512" s="4" t="s">
        <v>72</v>
      </c>
      <c r="C512" s="4" t="s">
        <v>914</v>
      </c>
      <c r="D512" s="4" t="s">
        <v>87</v>
      </c>
      <c r="E512" s="4" t="s">
        <v>88</v>
      </c>
      <c r="F512" s="5" t="s">
        <v>1030</v>
      </c>
      <c r="G512" s="4"/>
      <c r="H512" s="5" t="s">
        <v>202</v>
      </c>
      <c r="I512" s="4" t="s">
        <v>1034</v>
      </c>
      <c r="J512" s="4" t="s">
        <v>9</v>
      </c>
      <c r="K512" s="4" t="s">
        <v>1035</v>
      </c>
      <c r="L512" s="4" t="s">
        <v>111</v>
      </c>
      <c r="M512" s="5" t="s">
        <v>205</v>
      </c>
    </row>
    <row r="513" customFormat="false" ht="23.85" hidden="false" customHeight="false" outlineLevel="0" collapsed="false">
      <c r="A513" s="5" t="n">
        <v>509</v>
      </c>
      <c r="B513" s="4" t="s">
        <v>72</v>
      </c>
      <c r="C513" s="4" t="s">
        <v>914</v>
      </c>
      <c r="D513" s="4" t="s">
        <v>87</v>
      </c>
      <c r="E513" s="4" t="s">
        <v>88</v>
      </c>
      <c r="F513" s="5" t="s">
        <v>1030</v>
      </c>
      <c r="G513" s="4"/>
      <c r="H513" s="5" t="s">
        <v>206</v>
      </c>
      <c r="I513" s="4" t="s">
        <v>1036</v>
      </c>
      <c r="J513" s="4" t="s">
        <v>9</v>
      </c>
      <c r="K513" s="4" t="s">
        <v>1037</v>
      </c>
      <c r="L513" s="4" t="s">
        <v>111</v>
      </c>
      <c r="M513" s="5" t="s">
        <v>205</v>
      </c>
    </row>
    <row r="514" customFormat="false" ht="23.85" hidden="false" customHeight="false" outlineLevel="0" collapsed="false">
      <c r="A514" s="5" t="n">
        <v>510</v>
      </c>
      <c r="B514" s="4" t="s">
        <v>72</v>
      </c>
      <c r="C514" s="4" t="s">
        <v>914</v>
      </c>
      <c r="D514" s="4" t="s">
        <v>87</v>
      </c>
      <c r="E514" s="4" t="s">
        <v>88</v>
      </c>
      <c r="F514" s="5" t="s">
        <v>1030</v>
      </c>
      <c r="G514" s="4"/>
      <c r="H514" s="5" t="s">
        <v>209</v>
      </c>
      <c r="I514" s="4" t="s">
        <v>1038</v>
      </c>
      <c r="J514" s="4" t="s">
        <v>9</v>
      </c>
      <c r="K514" s="4" t="s">
        <v>1039</v>
      </c>
      <c r="L514" s="4" t="s">
        <v>111</v>
      </c>
      <c r="M514" s="5" t="s">
        <v>205</v>
      </c>
    </row>
    <row r="515" customFormat="false" ht="35.05" hidden="false" customHeight="false" outlineLevel="0" collapsed="false">
      <c r="A515" s="5" t="n">
        <v>511</v>
      </c>
      <c r="B515" s="4" t="s">
        <v>72</v>
      </c>
      <c r="C515" s="4" t="s">
        <v>914</v>
      </c>
      <c r="D515" s="4" t="s">
        <v>87</v>
      </c>
      <c r="E515" s="4" t="s">
        <v>88</v>
      </c>
      <c r="F515" s="5" t="s">
        <v>1030</v>
      </c>
      <c r="G515" s="4"/>
      <c r="H515" s="5" t="s">
        <v>212</v>
      </c>
      <c r="I515" s="4" t="s">
        <v>1040</v>
      </c>
      <c r="J515" s="4" t="s">
        <v>9</v>
      </c>
      <c r="K515" s="4" t="s">
        <v>1041</v>
      </c>
      <c r="L515" s="4" t="s">
        <v>111</v>
      </c>
      <c r="M515" s="5" t="s">
        <v>205</v>
      </c>
    </row>
    <row r="516" customFormat="false" ht="23.85" hidden="false" customHeight="false" outlineLevel="0" collapsed="false">
      <c r="A516" s="5" t="n">
        <v>512</v>
      </c>
      <c r="B516" s="4" t="s">
        <v>72</v>
      </c>
      <c r="C516" s="4" t="s">
        <v>914</v>
      </c>
      <c r="D516" s="4" t="s">
        <v>87</v>
      </c>
      <c r="E516" s="4" t="s">
        <v>88</v>
      </c>
      <c r="F516" s="5" t="s">
        <v>1030</v>
      </c>
      <c r="G516" s="4"/>
      <c r="H516" s="5" t="s">
        <v>215</v>
      </c>
      <c r="I516" s="4" t="s">
        <v>1042</v>
      </c>
      <c r="J516" s="4" t="s">
        <v>9</v>
      </c>
      <c r="K516" s="4" t="s">
        <v>1043</v>
      </c>
      <c r="L516" s="4" t="s">
        <v>111</v>
      </c>
      <c r="M516" s="5" t="s">
        <v>205</v>
      </c>
    </row>
    <row r="517" customFormat="false" ht="23.85" hidden="false" customHeight="false" outlineLevel="0" collapsed="false">
      <c r="A517" s="5" t="n">
        <v>513</v>
      </c>
      <c r="B517" s="4" t="s">
        <v>72</v>
      </c>
      <c r="C517" s="4" t="s">
        <v>914</v>
      </c>
      <c r="D517" s="4" t="s">
        <v>87</v>
      </c>
      <c r="E517" s="4" t="s">
        <v>88</v>
      </c>
      <c r="F517" s="5" t="s">
        <v>1030</v>
      </c>
      <c r="G517" s="4"/>
      <c r="H517" s="5" t="s">
        <v>218</v>
      </c>
      <c r="I517" s="4" t="s">
        <v>1044</v>
      </c>
      <c r="J517" s="4" t="s">
        <v>9</v>
      </c>
      <c r="K517" s="4" t="s">
        <v>1045</v>
      </c>
      <c r="L517" s="4" t="s">
        <v>111</v>
      </c>
      <c r="M517" s="5" t="s">
        <v>205</v>
      </c>
    </row>
  </sheetData>
  <autoFilter ref="A4:M5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2026-10-14T12:01:31Z</dcterms:created>
  <dc:creator>openpyxl</dc:creator>
  <dc:description/>
  <dc:language>en-US</dc:language>
  <cp:lastModifiedBy/>
  <dcterms:modified xsi:type="dcterms:W3CDTF">2026-10-14T12:01:31Z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